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codeName="ThisWorkbook"/>
  <mc:AlternateContent xmlns:mc="http://schemas.openxmlformats.org/markup-compatibility/2006">
    <mc:Choice Requires="x15">
      <x15ac:absPath xmlns:x15ac="http://schemas.microsoft.com/office/spreadsheetml/2010/11/ac" url="https://hitachipowergrids-my.sharepoint.com/personal/jessica_ramos_hitachienergy_com/Documents/PG Laboratorio/LABORATORIO 2021/"/>
    </mc:Choice>
  </mc:AlternateContent>
  <xr:revisionPtr revIDLastSave="8" documentId="11_52C58698E3C8E26629E5D8033DB88354E09DF1DC" xr6:coauthVersionLast="47" xr6:coauthVersionMax="47" xr10:uidLastSave="{70E6CAB9-3C27-477B-A615-21193C90AAB2}"/>
  <bookViews>
    <workbookView xWindow="-110" yWindow="-110" windowWidth="19420" windowHeight="10420" xr2:uid="{00000000-000D-0000-FFFF-FFFF00000000}"/>
  </bookViews>
  <sheets>
    <sheet name="ACEITE" sheetId="1" r:id="rId1"/>
    <sheet name="SILICONA" sheetId="2" r:id="rId2"/>
    <sheet name="MIDEL" sheetId="3" r:id="rId3"/>
    <sheet name="FR3-VEGETAL" sheetId="4" r:id="rId4"/>
    <sheet name="INTERRUPTORES" sheetId="6" r:id="rId5"/>
    <sheet name="IEC60422" sheetId="7" r:id="rId6"/>
    <sheet name="OTRO" sheetId="5"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62" i="1" l="1"/>
  <c r="J13" i="5" l="1"/>
  <c r="K13" i="5" s="1"/>
  <c r="J14" i="5"/>
  <c r="K14" i="5" s="1"/>
  <c r="J15" i="5"/>
  <c r="K15" i="5" s="1"/>
  <c r="J16" i="5"/>
  <c r="K16" i="5" s="1"/>
  <c r="K18" i="5" l="1"/>
  <c r="L18" i="5" s="1"/>
  <c r="U116" i="1"/>
</calcChain>
</file>

<file path=xl/sharedStrings.xml><?xml version="1.0" encoding="utf-8"?>
<sst xmlns="http://schemas.openxmlformats.org/spreadsheetml/2006/main" count="1293" uniqueCount="742">
  <si>
    <t>LABORATORIO</t>
  </si>
  <si>
    <t>Se recibió muestra. Según procedimiento P-PG-TR-LA-18-20.</t>
  </si>
  <si>
    <t>VALORES DE ORIENTACION NORMA: IEEE STD C57.106-2015</t>
  </si>
  <si>
    <t>CLIENTE INT. O EXT.</t>
  </si>
  <si>
    <t>Se recepcionó muestra de aceite aislante en envases de vidrio.</t>
  </si>
  <si>
    <t>MODIFICACIONES</t>
  </si>
  <si>
    <t>Este informe reemplaza al 19-xxx . 
Motivo: …………….</t>
  </si>
  <si>
    <t>ANALISIS</t>
  </si>
  <si>
    <t>NORMA ASTM</t>
  </si>
  <si>
    <t>ACEITE  NUEVO T1</t>
  </si>
  <si>
    <t>ACEITE NUEVO EN EL TRAFO ANTES DE ENRGIZAR T2</t>
  </si>
  <si>
    <t>ACEITE EN SERVICIO T3</t>
  </si>
  <si>
    <t>ACEITE REACONDICIONADO O REGENERADO T4</t>
  </si>
  <si>
    <r>
      <t xml:space="preserve">FQ  TRANSFORM.        </t>
    </r>
    <r>
      <rPr>
        <sz val="10"/>
        <color theme="1"/>
        <rFont val="Calibri"/>
        <family val="2"/>
      </rPr>
      <t>≥ 1 MVA</t>
    </r>
  </si>
  <si>
    <t>CLASE I</t>
  </si>
  <si>
    <t>• Los resultados obtenidos de las pruebas de número acido (acidez), factor de potencia, rigidez dieléctrica, tensión interfacial  y contenido de agua están dentro de los valores sugeridos por la Norma IEEE C57.106-2015.
• Haciendo referencia al punto 4.2.1.1 de la Norma IEEE C57.106-2015, el aceite es de clase I y debería ser analizado en doce meses.</t>
  </si>
  <si>
    <t>≤69 KV</t>
  </si>
  <si>
    <t>&gt;69-&lt;230KV</t>
  </si>
  <si>
    <t>≥230-&lt;345KV</t>
  </si>
  <si>
    <t>≥230</t>
  </si>
  <si>
    <t>ACIDEZ</t>
  </si>
  <si>
    <t>máximo</t>
  </si>
  <si>
    <t>CLASE II</t>
  </si>
  <si>
    <t>• Los resultados obtenidos de las pruebas de número ácido (acidez), factor de potencia, tensión interfacial y contenido de agua están dentro de los valores sugeridos por la Norma IEEE C57.106-2015. 
• La rigidez dieléctrica está fuera del valor sugerido por la Norma IEEE C57.106-2015. 
• Haciendo referencia al punto 4.2.1.2 de la Norma IEEE C57.106-2015, el aceite es de clase II y debería ser reacondicionado.</t>
  </si>
  <si>
    <t>FACT. DE POT. 25°C</t>
  </si>
  <si>
    <t>-</t>
  </si>
  <si>
    <t>FACT. DE POT.100°C</t>
  </si>
  <si>
    <t xml:space="preserve">RIGIDEZ </t>
  </si>
  <si>
    <t>mínimo</t>
  </si>
  <si>
    <t xml:space="preserve">TENSION </t>
  </si>
  <si>
    <t>• Los resultados obtenidos de las pruebas de número ácido (acidez), factor de potencia y tensión interfacial  están dentro de los valores sugeridos por la Norma IEEE C57.106-2015. 
• La rigidez dieléctrica y contenido de agua están fuera del valor sugerido por la Norma IEEE C57.106-2015. 
• Haciendo referencia al punto 4.2.1.2 de la Norma IEEE C57.106-2015, el aceite es de clase II y debería ser reacondicionado.</t>
  </si>
  <si>
    <t xml:space="preserve">HUMEDAD </t>
  </si>
  <si>
    <t xml:space="preserve">COLOR </t>
  </si>
  <si>
    <t>VISUAL</t>
  </si>
  <si>
    <t>B Y C</t>
  </si>
  <si>
    <t>AZUFRE</t>
  </si>
  <si>
    <t>NO COR</t>
  </si>
  <si>
    <t>CASE III</t>
  </si>
  <si>
    <t xml:space="preserve">• Los resultados obtenidos de las pruebas de número ácido (acidez), rigidez dieléctrica, tensión interfacial y contenido de agua están dentro de los valores sugeridos por la Norma IEEE C57.106-2015.
• El factor de potencia,  están fuera del valor sugerido por la Norma IEEE C57.106-2015.
• Haciendo referencia al punto 4.2.1.3 de la Norma IEEE C57.106-2015, el aceite es de clase III y deberia ser regenerado o reemplazado.   </t>
  </si>
  <si>
    <t>DENSIDAD (max)</t>
  </si>
  <si>
    <t>INHIBIDOR  II</t>
  </si>
  <si>
    <t>CONMUTADOR</t>
  </si>
  <si>
    <t xml:space="preserve">• Los resultados obtenidos de las pruebas de número ácido (acidez), factor de potencia, rigidez dieléctrica y contenido de agua están dentro de los valores sugeridos por la Norma IEEE C57.106-2015.
• La tensión interfacial está fuera del valor sugerido por la Norma IEEE C57.106-2015.
• Haciendo referencia al punto 4.2.1.3 de la Norma IEEE C57.106-2015, el aceite es de clase III y el aceite deberia ser regenerado.   </t>
  </si>
  <si>
    <t>NUEVO</t>
  </si>
  <si>
    <t>EN SERVICIO</t>
  </si>
  <si>
    <t>&gt;69 KV</t>
  </si>
  <si>
    <t>NEUTRAL</t>
  </si>
  <si>
    <t>PERDIDAS 25°C</t>
  </si>
  <si>
    <t>• Los resultados obtenidos de las pruebas de número ácido (acidez), tensión interfacial y contenido de agua están dentro de los valores sugeridos por la Norma IEEE C57.106-2015. 
• La rigidez dieléctrica y factor de potencia están fuera de los valores sugeridos por la Norma IEEE C57.106-2015. 
• Haciendo referencia al punto 4.2.1.3 de la Norma IEEE C57.106-2015, el aceite es de clase III y debería ser regenerado o reemplazado.</t>
  </si>
  <si>
    <t>PERDIDAS 100°C</t>
  </si>
  <si>
    <t>• El resultado obtenido de número ácido (acidez) está dentro del valor sugerido por la Norma IEEE C57.106-2015. 
• La rigidez dieléctrica, tensión interfacial y contenido de agua están fuera de los valores sugeridos por la Norma IEEE C57.106-2015. 
• El factor de potencia (NA-no aplica), porque la muestra está muy oscura indicio de un alto grado de envejecimiento.</t>
  </si>
  <si>
    <t>FQ CONMUTADOR</t>
  </si>
  <si>
    <t>BIEN</t>
  </si>
  <si>
    <t>• Los resultados obtenidos de número ácido (acidez), rigidez dieléctrica, tensión y contenido de agua están dentro de los valores sugeridos por la Norma IEEE C57.106-2015.
•  El aceite es debería ser analizado en doce meses.</t>
  </si>
  <si>
    <t>MAL</t>
  </si>
  <si>
    <t>• Los resultados obtenidos de número ácido (acidez), tensión y contenido de agua están dentro de los valores sugeridos por la Norma IEEE C57.106-2015. 
• La rigidez dieléctrica está fuera del valor sugerido por la Norma IEEE C57.106-2015. 
• Haciendo referencia al punto 7.3 de la Norma IEEE C57.106-2015, el aceite debería ser reacondicionado.</t>
  </si>
  <si>
    <t>CR TRANSFORM.</t>
  </si>
  <si>
    <t>BUENO</t>
  </si>
  <si>
    <t>VALORES TIPICOS NORMA IEC60599:1999+A1:2015</t>
  </si>
  <si>
    <t>Velocidad de incremento de gases en uL/año ( trafos con V&gt;5000L)</t>
  </si>
  <si>
    <t>Tipo de Transformador</t>
  </si>
  <si>
    <t>Hidrogeno</t>
  </si>
  <si>
    <t>Oxigeno</t>
  </si>
  <si>
    <t>Nitrogeno</t>
  </si>
  <si>
    <t>Metano</t>
  </si>
  <si>
    <t>Monoxido de C</t>
  </si>
  <si>
    <t>Dioxido de C</t>
  </si>
  <si>
    <t>Etileno</t>
  </si>
  <si>
    <t>Etano</t>
  </si>
  <si>
    <t>Acetileno</t>
  </si>
  <si>
    <t>Acetileno C2H2</t>
  </si>
  <si>
    <t>H2</t>
  </si>
  <si>
    <t>O2</t>
  </si>
  <si>
    <t>N2</t>
  </si>
  <si>
    <t>CH4</t>
  </si>
  <si>
    <t>CO</t>
  </si>
  <si>
    <t>CO2</t>
  </si>
  <si>
    <t>C2H4</t>
  </si>
  <si>
    <t>C2H6</t>
  </si>
  <si>
    <t>C2H2</t>
  </si>
  <si>
    <t>Comunicacion OTLC</t>
  </si>
  <si>
    <t>(*) Este valor típico es para transformadores en que la cuba tiene comunicación con el OLTC.</t>
  </si>
  <si>
    <t>Comucacion OTLC</t>
  </si>
  <si>
    <t>1 GAS</t>
  </si>
  <si>
    <t>Distribucion</t>
  </si>
  <si>
    <t>Potencia</t>
  </si>
  <si>
    <t>DE HORNO</t>
  </si>
  <si>
    <t>**</t>
  </si>
  <si>
    <t>VARIOS GASES</t>
  </si>
  <si>
    <t>DE Corriente</t>
  </si>
  <si>
    <t>DE Voltaje</t>
  </si>
  <si>
    <t>Evaluacion Conmutadores IEEEC57.139-2010</t>
  </si>
  <si>
    <t>Instrumento</t>
  </si>
  <si>
    <t>1° CASO</t>
  </si>
  <si>
    <t>2° CASO</t>
  </si>
  <si>
    <t>CR TRANSFORMADOR DE HORNO</t>
  </si>
  <si>
    <t>Bushing</t>
  </si>
  <si>
    <t>Variable</t>
  </si>
  <si>
    <t>Caution (2)</t>
  </si>
  <si>
    <t>Warning (3)</t>
  </si>
  <si>
    <t>Cables</t>
  </si>
  <si>
    <t>C2H4/C2H2</t>
  </si>
  <si>
    <t>Interruptor</t>
  </si>
  <si>
    <t>TDHG/C2H2</t>
  </si>
  <si>
    <t>Conmutador</t>
  </si>
  <si>
    <t>237 ppm</t>
  </si>
  <si>
    <t>28 ppm</t>
  </si>
  <si>
    <t>653 ppm</t>
  </si>
  <si>
    <t>59 ppm</t>
  </si>
  <si>
    <t>1773 ppm</t>
  </si>
  <si>
    <t>292 ppm</t>
  </si>
  <si>
    <t xml:space="preserve">TDHG </t>
  </si>
  <si>
    <t>1213 ppm</t>
  </si>
  <si>
    <t>96 ppm</t>
  </si>
  <si>
    <t>TDHG =(CH4+C2H6+C2H4)</t>
  </si>
  <si>
    <t>PCB's</t>
  </si>
  <si>
    <t>&lt; 2</t>
  </si>
  <si>
    <t>≥ 2</t>
  </si>
  <si>
    <t>FURANOS</t>
  </si>
  <si>
    <t>GP≥700</t>
  </si>
  <si>
    <t>• Según los resultados obtenidos, el aislamiento se encuentra  en buen estado.</t>
  </si>
  <si>
    <t>CALCULO DE GP CON 2-FURALDEHIDO</t>
  </si>
  <si>
    <t>GP entre 450 y &lt;700</t>
  </si>
  <si>
    <t>• Según los resultados obtenidos, el aislamiento se encuentra medianamente envejecido.</t>
  </si>
  <si>
    <t>2- Furaldehido=</t>
  </si>
  <si>
    <t>ppb</t>
  </si>
  <si>
    <t>GP entre 250 y &lt;450</t>
  </si>
  <si>
    <t>• Según los resultados obtenidos, el aislamiento se encuentra envejecido.</t>
  </si>
  <si>
    <t>GP =</t>
  </si>
  <si>
    <t xml:space="preserve">por Chendong </t>
  </si>
  <si>
    <t>GP entre &lt;250</t>
  </si>
  <si>
    <t>• Según los resultados obtenidos, el aislamiento se encuentra severamente degradado.</t>
  </si>
  <si>
    <t>*Límite de dección del método = 10ppb</t>
  </si>
  <si>
    <t>INHIBIDORES</t>
  </si>
  <si>
    <t>&lt;0.08%</t>
  </si>
  <si>
    <t>• De acuerdo al resultado obtenido  se considera como un aceite Tipo I (no inhibido) tomando como referencia la norma ASTM D3487-16.</t>
  </si>
  <si>
    <t>0.08%-3.00%</t>
  </si>
  <si>
    <t>• De acuerdo al resultado obtenido  se considera como un aceite Tipo II (inhibido) tomando como referencia la norma ASTM D3487-16.</t>
  </si>
  <si>
    <r>
      <t xml:space="preserve">-
</t>
    </r>
    <r>
      <rPr>
        <sz val="11"/>
        <color rgb="FFFF0000"/>
        <rFont val="Calibri"/>
        <family val="2"/>
        <scheme val="minor"/>
      </rPr>
      <t>midel , silicona</t>
    </r>
  </si>
  <si>
    <t xml:space="preserve">• Según ASTM D3487-16, para este tipo de fluido aislante, no se tiene referencia de valores típicos. </t>
  </si>
  <si>
    <t>METALES</t>
  </si>
  <si>
    <t>&lt;0.05ppm</t>
  </si>
  <si>
    <t>• Según los resultados obtenidos, no se detectó presencia de metales en la muestra de aceite.</t>
  </si>
  <si>
    <t>&gt;0.05 ppm</t>
  </si>
  <si>
    <t>• Según los resultados obtenidos, se detectó Xppm de M como compuesto metálico en la muestra de aceite.</t>
  </si>
  <si>
    <t>GRADO DE POLIMERIZACION: Se recepcionó muestra de papel impregando en aceite aislante.</t>
  </si>
  <si>
    <t>1000-1200</t>
  </si>
  <si>
    <t>• Condición de la muestra:  Nuevo de acuerdo a norma IEC 60450</t>
  </si>
  <si>
    <t>650-1000</t>
  </si>
  <si>
    <t>• Condición de la muestra:  Bueno de acuerdo a norma IEC 60450</t>
  </si>
  <si>
    <t>350-650</t>
  </si>
  <si>
    <t>• Condición de la muestra:  Medianamente envejecido de acuerdo a norma IEC 60450</t>
  </si>
  <si>
    <t>&lt; 350</t>
  </si>
  <si>
    <t>• Condición de la muestra:  Envejecido de acuerdo a norma IEC 60450</t>
  </si>
  <si>
    <t>DBDS</t>
  </si>
  <si>
    <t>&lt;5.0 ppm</t>
  </si>
  <si>
    <t>• Según los resultados obtenidos la presencia de dibencil disulfuro en la muestra de aceite aislante está por debajo del valor de referencia de la norma IEC 60422:2013.</t>
  </si>
  <si>
    <t>≥5.0 ppm</t>
  </si>
  <si>
    <t>• Se detectó Xppm de dibencil disulfuro en la muestra de aceite aislante este resultado se encuentra por encima del valor de referencia dado por la Norma IEC 60422:2013.</t>
  </si>
  <si>
    <t>• Reduzca la corrosividad del aceite agregando un pasivador de cobre o elimine la fuente de corrosividad cambiando el aceite o eliminando compuestos corrosivos por medio de tratamientos adecuados de aceite de acuerdo a lo recomendado en la norma IEC 60422:2013. El monitoreo regular es necesario.</t>
  </si>
  <si>
    <t>AZUFRE CORROSIVO</t>
  </si>
  <si>
    <t>ASTM D130</t>
  </si>
  <si>
    <t>1A</t>
  </si>
  <si>
    <t>1A-anaranjado</t>
  </si>
  <si>
    <t>1B</t>
  </si>
  <si>
    <t>1B-anaranjado oscuro</t>
  </si>
  <si>
    <t>2A</t>
  </si>
  <si>
    <t>2A-rojo vino tinto</t>
  </si>
  <si>
    <t>2B</t>
  </si>
  <si>
    <t>2B-lavanda</t>
  </si>
  <si>
    <t>2C</t>
  </si>
  <si>
    <t>2C-multicolor con lavanda azul o plata, o ambos, sobreimpreso en rojo vino tinto</t>
  </si>
  <si>
    <t>2D</t>
  </si>
  <si>
    <t>2D-plateado</t>
  </si>
  <si>
    <t>2E</t>
  </si>
  <si>
    <t>2E-metálico o dorado</t>
  </si>
  <si>
    <t>3A</t>
  </si>
  <si>
    <t>3A-magenta nublado en tira metálica</t>
  </si>
  <si>
    <t>3B</t>
  </si>
  <si>
    <t>3B-multicolor con muestra de color rojo y verde (pavo real), pero no gris</t>
  </si>
  <si>
    <t>4A</t>
  </si>
  <si>
    <t>4A-negro transparente, gris oscuro o marrón mostrando apenas  verde pavo real</t>
  </si>
  <si>
    <t>4B</t>
  </si>
  <si>
    <t>4B-grafito o negro sin brillo</t>
  </si>
  <si>
    <t>4C</t>
  </si>
  <si>
    <t>4C-negro brillante como el azabache</t>
  </si>
  <si>
    <t>No Corrosivo</t>
  </si>
  <si>
    <t>• De acuerdo a los resultados se concluye que el azufre por el método ASTM D1275 es no corrosivo.</t>
  </si>
  <si>
    <t>Corrosivo</t>
  </si>
  <si>
    <t>• De acuerdo a los resultados se concluye que el azufre por el método ASTM D1275 es corrosivo.</t>
  </si>
  <si>
    <t>IEC 62535 (48 horas)</t>
  </si>
  <si>
    <t>• De acuerdo a los resultados se concluye que el azufre por el método IEC62535-ANEXO A es no corrosivo. </t>
  </si>
  <si>
    <t>• De acuerdo a los resultados se concluye que el azufre por el método IEC62535-ANEXO A es corrosivo. </t>
  </si>
  <si>
    <t>IEC 62535 (72 horas)</t>
  </si>
  <si>
    <t>Negativo sin depósitos</t>
  </si>
  <si>
    <t>• De acuerdo a los resultados se concluye que el azufre por el método IEC 62535 es negativo a la corrosion en cobre y sin depositos en el papel.</t>
  </si>
  <si>
    <t>Positivo sin depósitos</t>
  </si>
  <si>
    <t>• De acuerdo a los resultados se concluye que el azufre por el método IEC 62535 es positivo a la corrosion en cobre y sin depositos en el papel.</t>
  </si>
  <si>
    <t>Positivo con depósitos</t>
  </si>
  <si>
    <t>• De acuerdo a los resultados se concluye que el azufre por el método IEC 62535 es positivo a la corrosion en cobre y con depositos de sulfuro de cobre en el papel.</t>
  </si>
  <si>
    <t>VISCOSIDAD</t>
  </si>
  <si>
    <t>CONSTANTE=</t>
  </si>
  <si>
    <t>≤ 12cSt</t>
  </si>
  <si>
    <t>• Valor de viscosidad dentro del limite para un aceite mineral.</t>
  </si>
  <si>
    <t>TIEMPO=</t>
  </si>
  <si>
    <t>SEGUNDOS</t>
  </si>
  <si>
    <t>&gt;12cSt</t>
  </si>
  <si>
    <t>• Valor de viscosidad fuera del limite para un aceite mineral.</t>
  </si>
  <si>
    <t>Viscosidad=</t>
  </si>
  <si>
    <t>cSt</t>
  </si>
  <si>
    <t>SEDIMENTOS</t>
  </si>
  <si>
    <t xml:space="preserve"> &lt;0.001%</t>
  </si>
  <si>
    <t>• No se encontró sedimentos ni lodo precipitable.</t>
  </si>
  <si>
    <t>≥0.001%</t>
  </si>
  <si>
    <t>• Se encontró sedimentos y lodo precipitable.</t>
  </si>
  <si>
    <t>PARTICULAS</t>
  </si>
  <si>
    <t>CODIGO ISO: X/Y/Z
• Según codigo ISO 4406: X es el número de la escala que representa el número de partículas iguales o más grandes que 4μm por mililitro de líquido. 
• Según codigo ISO 4406: Y es el número de la escala que representa el número de partículas iguales o más grandes que 6μm por mililitro de líquido.
• Según codigo ISO 4406: Z es el número de la escala que representa el número de partículas iguales o más grandes que 14μm por mililitro de líquido.</t>
  </si>
  <si>
    <t>Se recepcionó botella y jeringa con fluido aislante (Silicona).</t>
  </si>
  <si>
    <t>FISICOQUIMICO</t>
  </si>
  <si>
    <t>• Los resultados obtenidos de las pruebas de número ácido (acidez), factor de potencia, rigidez dieléctrica y el contenido de agua están dentro de los valores recomendados por la Norma IEEE C57.111-1989(R2009).
• Haciendo referencia a la Norma IEEE C57.111-1989(R2009), el fluido aislante debería ser analizado en doce meses.</t>
  </si>
  <si>
    <t>• Los resultados obtenidos de las pruebas de número ácido (acidez), facor de potencia, tensión interfacial y contenido de agua están dentro de los valores recomendados por la Norma IEEE C57.111-1989(R2009).
• La rigidez dieléctrica está fuera del valor recomendado por la Norma IEEE C57.111-1989(R2009).
• Haciendo referencia al punto 4.3.2.2 de la Norma IEEE C57.111-1989(R2009), el aceite debería ser reacondicionado.</t>
  </si>
  <si>
    <t>• Los resultados obtenidos de las número ácido (acidez), factor de potencia y tensión interfacial  están dentro de los valores recomendados por la Norma IEEE C57.111-1989(R2009)
• La rigidez dieléctrica y contenido de agua están fuera del valor recomendado por la Norma IEEE C57.111-1989(R2009).
• Haciendo referencia al punto 4.3.2.2 de la Norma Norma IEEE C57.111-1989(R2009) el aceite debería ser filtrado y reacondicionado.</t>
  </si>
  <si>
    <t xml:space="preserve">• Los resultados obtenidos de número ácido (acidez), factor de potencia, rigidez dieléctrica y contenido de agua están dentro de los valores recomendados por la Norma IEEE C57.111-1989(R2009).
• La tensión interfacial está fuera del valor recomendado por la Norma IEEE C57.111-1989(R2009).
• Haciendo referencia al punto 4.3.2.1 de la Norma Norma IEEE C57.111-1989(R2009), el aceite deberia ser filtrado.   </t>
  </si>
  <si>
    <t xml:space="preserve">          </t>
  </si>
  <si>
    <t>CROMATOGRAFICO</t>
  </si>
  <si>
    <t>• Las cantidades de gases detectados se encuentran dentro de los valores recomendados por la Norma IEEE Std C57.146-2005.
• Se debería realizar un nuevo muestreo en doce meses para evaluar la tendencia de los gases.</t>
  </si>
  <si>
    <t>• La cantidad de monóxido de carbono detectado se encuentra por encima del valor de referencia dado por la Norma IEEE Std C57.146-2005.
• Se debería hacer un nuevo muestreo dentro de seis meses para evaluar la tendencia de los gases detectados.</t>
  </si>
  <si>
    <t>GASES</t>
  </si>
  <si>
    <t>• Las cantidades de metano, etileno, etano, monóxido y dióxido de carbono se encuentran por encima de los valores de referencia dados por la Norma IEEE Std C57.146-2005.
• Se debería hacer un nuevo muestreo dentro de tres meses para evaluar la tendencia de los gases detectados.</t>
  </si>
  <si>
    <t>PCB:</t>
  </si>
  <si>
    <t>• Según Procedimiento ABB 9CFA0880-016 (punto 5.1) el aceite se considera libre de pcb cuando lo detectado es menor a 5 ppm.</t>
  </si>
  <si>
    <t>(*) Norma de diagnóstico: IEEE C57.111-1989(R2003) (Solo se indican valores de orientación para los ensayos de rutina en fluidos en servicio)</t>
  </si>
  <si>
    <t>NUEVO EN EL TRAFO</t>
  </si>
  <si>
    <t>ACEITE USADO</t>
  </si>
  <si>
    <t>Contamination</t>
  </si>
  <si>
    <t>Fluid Appearance</t>
  </si>
  <si>
    <t>Equipment</t>
  </si>
  <si>
    <t>Filter Aid</t>
  </si>
  <si>
    <t>Test</t>
  </si>
  <si>
    <t>Comments</t>
  </si>
  <si>
    <t>ASTM</t>
  </si>
  <si>
    <t>ACEPTABLE</t>
  </si>
  <si>
    <t>INACEPTABLE</t>
  </si>
  <si>
    <t>ACIDEZ (max)</t>
  </si>
  <si>
    <t>D-974</t>
  </si>
  <si>
    <t>Degradation of cellulose</t>
  </si>
  <si>
    <t>Water</t>
  </si>
  <si>
    <t>Clear to milky white</t>
  </si>
  <si>
    <t>Dehydrator</t>
  </si>
  <si>
    <t>None</t>
  </si>
  <si>
    <t>Water content dielectric</t>
  </si>
  <si>
    <t>Separated water should be siphoned or drained</t>
  </si>
  <si>
    <t>PERDIDAS 25°C (max)</t>
  </si>
  <si>
    <t>D-924</t>
  </si>
  <si>
    <t>Polar/ionic contamination</t>
  </si>
  <si>
    <t>Products of Arcing</t>
  </si>
  <si>
    <t>RIGIDEZ (min)</t>
  </si>
  <si>
    <t>D-877</t>
  </si>
  <si>
    <t>Particulates, water</t>
  </si>
  <si>
    <t>Silicone dioxide, carbon, highly crosslinked gelatinous polymer</t>
  </si>
  <si>
    <t>Clear w/particulates to grey-white, strong odor</t>
  </si>
  <si>
    <t>Cartridge filter/ vacuum or filter press and vacuum</t>
  </si>
  <si>
    <t>None or diatomaceo
us earth</t>
  </si>
  <si>
    <t>Dielectric strength, volume resistivity, dissipation facto</t>
  </si>
  <si>
    <t>This method will not return liquid to original mfr. spec</t>
  </si>
  <si>
    <t>HUMEDAD (max)</t>
  </si>
  <si>
    <t>D-1533</t>
  </si>
  <si>
    <t>Water contamination</t>
  </si>
  <si>
    <t>Particulates</t>
  </si>
  <si>
    <t>Clear with particles hazy</t>
  </si>
  <si>
    <t>Cartridge filter or filter press</t>
  </si>
  <si>
    <t>None or diatomaceo us earth</t>
  </si>
  <si>
    <t>Dielectric strength, visual</t>
  </si>
  <si>
    <t>May be removed by filtration</t>
  </si>
  <si>
    <t>COLOR (max)</t>
  </si>
  <si>
    <t>D-2129</t>
  </si>
  <si>
    <t>Discoloration due to interaction with transformer</t>
  </si>
  <si>
    <t>Faint to distinct coloration</t>
  </si>
  <si>
    <t>Cartridge filter or
filter press</t>
  </si>
  <si>
    <t>Activated
carbon</t>
  </si>
  <si>
    <t>Power factor, acid number, flash point, dielectric strength</t>
  </si>
  <si>
    <t>May have no effect on ASTMD-877 performance, check with equipment mfr.</t>
  </si>
  <si>
    <t>Clear, free of particles</t>
  </si>
  <si>
    <t>Particulates, free water, contamination</t>
  </si>
  <si>
    <t>Colorless, clear, free of particles</t>
  </si>
  <si>
    <t>Mineral oil and low fire point contaminants of higher volatility</t>
  </si>
  <si>
    <t>Clear to two phase</t>
  </si>
  <si>
    <t>Highly volatile materials may be removed by heat and vacuum. Mineral oil contamination requires replacement of fluid.</t>
  </si>
  <si>
    <t>Flash and fire
points</t>
  </si>
  <si>
    <t>The NEC requires that the fluid has a fire point of ³ 300 °C.</t>
  </si>
  <si>
    <t>D-1298</t>
  </si>
  <si>
    <t>0.9570– 0.9640</t>
  </si>
  <si>
    <t>Flash point (°C min.)</t>
  </si>
  <si>
    <t>D-92</t>
  </si>
  <si>
    <t>Fire point (°C min.)</t>
  </si>
  <si>
    <t>Contamination by volatile material</t>
  </si>
  <si>
    <t>Pour point (°C max.)</t>
  </si>
  <si>
    <t>D-97</t>
  </si>
  <si>
    <t>Refractive index (25 °C)</t>
  </si>
  <si>
    <t>D-1807</t>
  </si>
  <si>
    <t>1.4010–1.4040</t>
  </si>
  <si>
    <t>Viscosity at 0 °C, cSt</t>
  </si>
  <si>
    <t>D-2161/D455</t>
  </si>
  <si>
    <t>81–92</t>
  </si>
  <si>
    <t>47.5-52.5</t>
  </si>
  <si>
    <t>Fluid degradation, contamination</t>
  </si>
  <si>
    <t>Viscosity at 25 °C, cSt</t>
  </si>
  <si>
    <t>D-2161</t>
  </si>
  <si>
    <t>47.5–52.5</t>
  </si>
  <si>
    <t>Viscosity at 100 °C, cSt</t>
  </si>
  <si>
    <t>15–17</t>
  </si>
  <si>
    <t>Volatile matter (max. weight %)</t>
  </si>
  <si>
    <t>D-4559</t>
  </si>
  <si>
    <t>Norma de diagnóstico IEEE Std C57.146-2005</t>
  </si>
  <si>
    <t>H</t>
  </si>
  <si>
    <t>O</t>
  </si>
  <si>
    <t>N</t>
  </si>
  <si>
    <t>SILICONA</t>
  </si>
  <si>
    <t>• Las cantidades de gases detectados se encuentran dentro de los valores de referencia dados por la Norma IEEE Std C57.146-2005.</t>
  </si>
  <si>
    <t>(*) Norma de diagnóstico: IEC60599:1999+A1:2007</t>
  </si>
  <si>
    <t>Para el aceite del conmutador no se tiene referencia de valores límites.</t>
  </si>
  <si>
    <r>
      <t xml:space="preserve">· </t>
    </r>
    <r>
      <rPr>
        <sz val="10"/>
        <color theme="1"/>
        <rFont val="Times New Roman"/>
        <family val="1"/>
      </rPr>
      <t>Se detectó la presencia de gases combustibles como monóxido de carbono en la muestra de aceite.</t>
    </r>
  </si>
  <si>
    <r>
      <rPr>
        <sz val="10"/>
        <color theme="1"/>
        <rFont val="Calibri"/>
        <family val="2"/>
        <scheme val="minor"/>
      </rPr>
      <t xml:space="preserve">· </t>
    </r>
    <r>
      <rPr>
        <sz val="11"/>
        <color theme="1"/>
        <rFont val="Calibri"/>
        <family val="2"/>
        <scheme val="minor"/>
      </rPr>
      <t>Se detectó la presencia de gases combustibles como hidrógeno, metano, monóxido de carbono, etileno y etano en la muestra de aceite.</t>
    </r>
  </si>
  <si>
    <t>• Los resultados obtenidos de las pruebas de pérdidas dieléctricas están dentro de los valores recomendados por la Norma IEEE C57.106-2006.
• El índice de neutralización (acidez), rigidez dieléctrica (25°C), tensión interfacial  y contenido de agua están fuera de los valores recomendados por la Norma IEEE C57.106-2006.
• Haciendo referencia al punto 7.2.2 y 7.2.3 de la Norma IEEE C57.106-2006, el aceite debería ser regenerado y reacondicionado por termovacío.</t>
  </si>
  <si>
    <t>Se recepcionó botella y jeringa con fluido aislante (MIDEL).</t>
  </si>
  <si>
    <t>• El número ácido (acidez), factor de potencia, rigidez dieléctrica y contenido de agua están dentro de los valores recomendados por la Norma IEC 61203:1992.
• El factor de potencia es evaluada con la norma de ensayo IEC 60247-ed.3.0 (25°C,50Hz) según norma IEC 61203:1992.
• Haciendo referencia a la Norma IEC 61203:1992, el fluido aislante debería ser analizado en doce meses.</t>
  </si>
  <si>
    <t>• Las cantidades de gases detectados se encuentran dentro de los valores típicos dados por la Norma IEEE Std C57.155-2014.
• Se debería realizar un nuevo muestreo en doce meses para evaluar la tendencia de los gases.</t>
  </si>
  <si>
    <t>• La cantidad de monóxido de carbono detectado se encuentra por encima del valor típico dado por la Norma IEEE Std C57.155-2014.
• Se debería hacer un nuevo muestreo dentro de seis meses para evaluar la tendencia de los gases detectados.</t>
  </si>
  <si>
    <t>• Las cantidades de metano, etileno, etano, monóxido y dióxido de carbono se encuentran por encima de los valores típicos dados por la Norma IEEE Std C57.155-2014.
• Se debería hacer un nuevo muestreo dentro de tres meses para evaluar la tendencia de los gases detectados.</t>
  </si>
  <si>
    <t>• Según Procedimiento ABB 9CFA0880-016 (punto 5.1) el fluido se considera libre de pcb cuando lo detectado es menor a 5 ppm.</t>
  </si>
  <si>
    <t>PERDIDAS °C (max)-50HZ</t>
  </si>
  <si>
    <t xml:space="preserve">IEC60247 </t>
  </si>
  <si>
    <t>0.03 (90°)</t>
  </si>
  <si>
    <t>0.01 (25°C)</t>
  </si>
  <si>
    <t>0.01 - máximo IEC 60247</t>
  </si>
  <si>
    <t>IEC60156</t>
  </si>
  <si>
    <t xml:space="preserve">30 -mínimo </t>
  </si>
  <si>
    <t>D-1524</t>
  </si>
  <si>
    <t>TRANSPARENTE</t>
  </si>
  <si>
    <t>Norma de diagnóstico IEEE Std C57.155-2014</t>
  </si>
  <si>
    <t>ESTER SINTETICO</t>
  </si>
  <si>
    <t>A.      Diagnóstico en Partículas</t>
  </si>
  <si>
    <t>CODIGO ISO: X/Y/Z</t>
  </si>
  <si>
    <t>CODIGO ISO: 20/19/17
• Según codigo ISO 4406: 20 es el número de la escala que representa el número de partículas iguales o más grandes que 4μm por mililitro de líquido. 
• Según codigo ISO 4406: 19 es el número de la escala que representa el número de partículas iguales o más grandes que 6μm por mililitro de líquido.
• Según codigo ISO 4406: 17 es el número de la escala que representa el número de partículas iguales o más grandes que 14μm por mililitro de líquido.</t>
  </si>
  <si>
    <t>Diagnóstico en Inhibidores</t>
  </si>
  <si>
    <t>Resultado &gt;0.09%</t>
  </si>
  <si>
    <t>Resultado &lt;0.09%</t>
  </si>
  <si>
    <t>· El valor recomendado para un aceite inhibido en servicio según Norma IEEE C57.106-2006 es 0.09 % como mínimo de contenido de inhibidor. 
· El resultado obtenido está fuera del valor referencial para un aceite inhibido en servicio.</t>
  </si>
  <si>
    <t>Se recepcionó botella y jeringa con fluido aislante (FR3).</t>
  </si>
  <si>
    <t>Norma de diagnóstico: IEEEC57-147-2018</t>
  </si>
  <si>
    <t>(*) Los valores límites se toman de B900-00092S Properties For Envirotemp FR3 Fluid- Filled Equipment (Value Limits for continued service).</t>
  </si>
  <si>
    <t>NUEVO RECIBIDO</t>
  </si>
  <si>
    <t>NUEVO EN UN TRAFO NUEVO ANTES DE ENERGIZAR</t>
  </si>
  <si>
    <t>• Los resultados obtenidos de las pruebas de índice de neutralización (acidez), pérdidas dieléctricas, rigidez dieléctrica (21°C)  y contenido de agua están dentro de los valores recomendados por la Norma IEEE C57.147-2018.
• Haciendo referencia al punto 8.3 de la Norma IEEE C57.147-2018, el fluido aislante debería ser analizado en doce meses.</t>
  </si>
  <si>
    <t>&lt;=69</t>
  </si>
  <si>
    <t>&gt;69-230</t>
  </si>
  <si>
    <t>&gt;=230</t>
  </si>
  <si>
    <t>&gt;69-&lt;230</t>
  </si>
  <si>
    <t>&gt;230</t>
  </si>
  <si>
    <r>
      <rPr>
        <b/>
        <sz val="10"/>
        <color theme="1"/>
        <rFont val="Calibri"/>
        <family val="2"/>
      </rPr>
      <t>≤</t>
    </r>
    <r>
      <rPr>
        <b/>
        <sz val="10"/>
        <color theme="1"/>
        <rFont val="Calibri"/>
        <family val="2"/>
        <scheme val="minor"/>
      </rPr>
      <t>0.06</t>
    </r>
  </si>
  <si>
    <r>
      <rPr>
        <b/>
        <sz val="10"/>
        <color theme="1"/>
        <rFont val="Calibri"/>
        <family val="2"/>
      </rPr>
      <t>≤</t>
    </r>
    <r>
      <rPr>
        <b/>
        <sz val="10"/>
        <color theme="1"/>
        <rFont val="Calibri"/>
        <family val="2"/>
        <scheme val="minor"/>
      </rPr>
      <t>2.5</t>
    </r>
  </si>
  <si>
    <r>
      <rPr>
        <b/>
        <sz val="10"/>
        <color theme="1"/>
        <rFont val="Calibri"/>
        <family val="2"/>
      </rPr>
      <t>≤</t>
    </r>
    <r>
      <rPr>
        <b/>
        <sz val="10"/>
        <color theme="1"/>
        <rFont val="Calibri"/>
        <family val="2"/>
        <scheme val="minor"/>
      </rPr>
      <t>0.2</t>
    </r>
  </si>
  <si>
    <t>• Los resultados obtenidos de las pruebas de índice de neutralización (acidez), pérdidas dieléctricas, tensión interfacial y contenido de agua están dentro de los valores recomendados por la Norma IEEE C57.147-2018. 
• La rigidez dieléctrica (25°C) está fuera del valor recomendado por la Norma IEEE C57.147-2018. 
• Haciendo referencia al punto 8.4.2 de la Norma IEEE C57.147-2018, el fluido aislante debería ser filtrado y reacondicionado por termovacío.</t>
  </si>
  <si>
    <t>PERDIDAS 100°C (max)</t>
  </si>
  <si>
    <r>
      <rPr>
        <b/>
        <sz val="10"/>
        <color theme="1"/>
        <rFont val="Calibri"/>
        <family val="2"/>
      </rPr>
      <t>≤</t>
    </r>
    <r>
      <rPr>
        <b/>
        <sz val="10"/>
        <color theme="1"/>
        <rFont val="Calibri"/>
        <family val="2"/>
        <scheme val="minor"/>
      </rPr>
      <t>4.0</t>
    </r>
  </si>
  <si>
    <t>D-1816</t>
  </si>
  <si>
    <t>≥40</t>
  </si>
  <si>
    <t>≥30</t>
  </si>
  <si>
    <t>TENSION (min)</t>
  </si>
  <si>
    <t>D-971</t>
  </si>
  <si>
    <r>
      <rPr>
        <b/>
        <sz val="10"/>
        <color theme="1"/>
        <rFont val="Calibri"/>
        <family val="2"/>
      </rPr>
      <t>≤</t>
    </r>
    <r>
      <rPr>
        <b/>
        <sz val="10"/>
        <color theme="1"/>
        <rFont val="Calibri"/>
        <family val="2"/>
        <scheme val="minor"/>
      </rPr>
      <t>200</t>
    </r>
  </si>
  <si>
    <r>
      <rPr>
        <b/>
        <sz val="10"/>
        <color theme="1"/>
        <rFont val="Calibri"/>
        <family val="2"/>
      </rPr>
      <t>≤</t>
    </r>
    <r>
      <rPr>
        <b/>
        <sz val="10"/>
        <color theme="1"/>
        <rFont val="Calibri"/>
        <family val="2"/>
        <scheme val="minor"/>
      </rPr>
      <t>400</t>
    </r>
  </si>
  <si>
    <t>D-1500</t>
  </si>
  <si>
    <t>&lt;1.0</t>
  </si>
  <si>
    <t xml:space="preserve">• Los resultados obtenidos de las pruebas de índice de neutralización (acidez), pérdidas dieléctricas,rigidez dieléctrica (25°C)y contenido de agua están dentro de los valores recomendados por la Norma IEEE C57.147-2018.
• La tensión interfacial está fuera del valor recomendado por la Norma IEEE C57.147-2018.
• Haciendo referencia al punto 8.5 de la Norma IEEE C57.147-2018, el fluido aislante deberia ser regenerado.   </t>
  </si>
  <si>
    <t>VISCOSIDAD 40°C (max)</t>
  </si>
  <si>
    <t>D445</t>
  </si>
  <si>
    <t>≥10% Valor inicial</t>
  </si>
  <si>
    <t>VISCOSIDAD 40°C</t>
  </si>
  <si>
    <r>
      <rPr>
        <b/>
        <sz val="10"/>
        <color theme="1"/>
        <rFont val="Calibri"/>
        <family val="2"/>
      </rPr>
      <t>≤</t>
    </r>
    <r>
      <rPr>
        <b/>
        <sz val="10"/>
        <color theme="1"/>
        <rFont val="Calibri"/>
        <family val="2"/>
        <scheme val="minor"/>
      </rPr>
      <t>10</t>
    </r>
  </si>
  <si>
    <t>D1275</t>
  </si>
  <si>
    <t>NC</t>
  </si>
  <si>
    <t>D2945</t>
  </si>
  <si>
    <t>0.5% del requerimiento de fabrcacion</t>
  </si>
  <si>
    <t>VISCOSIDAD 100°C</t>
  </si>
  <si>
    <r>
      <rPr>
        <b/>
        <sz val="10"/>
        <color theme="1"/>
        <rFont val="Calibri"/>
        <family val="2"/>
      </rPr>
      <t>≤</t>
    </r>
    <r>
      <rPr>
        <b/>
        <sz val="10"/>
        <color theme="1"/>
        <rFont val="Calibri"/>
        <family val="2"/>
        <scheme val="minor"/>
      </rPr>
      <t>40</t>
    </r>
  </si>
  <si>
    <t>ACEITE SOYA - FR3</t>
  </si>
  <si>
    <t>ACEITE GIRASOL</t>
  </si>
  <si>
    <t>• No aplica el analisis de compuestos de furanos en el fluido aislante FR3.</t>
  </si>
  <si>
    <t>IEC60422:2013</t>
  </si>
  <si>
    <t>ANALISIS   FISICOQUIMICO</t>
  </si>
  <si>
    <t>ACEITE NUEVO</t>
  </si>
  <si>
    <t>NUEVO EN TRAFO</t>
  </si>
  <si>
    <t>NORMA</t>
  </si>
  <si>
    <t>IEC60296</t>
  </si>
  <si>
    <t>&lt;72,5KV</t>
  </si>
  <si>
    <t xml:space="preserve"> 72,5 a 170 KV</t>
  </si>
  <si>
    <t>&gt; 170 KV</t>
  </si>
  <si>
    <r>
      <rPr>
        <sz val="11"/>
        <color theme="1"/>
        <rFont val="Calibri"/>
        <family val="2"/>
      </rPr>
      <t>≤</t>
    </r>
    <r>
      <rPr>
        <sz val="11"/>
        <color theme="1"/>
        <rFont val="Calibri"/>
        <family val="2"/>
        <scheme val="minor"/>
      </rPr>
      <t>72,5KV</t>
    </r>
  </si>
  <si>
    <t xml:space="preserve"> &gt; 72,5 KV</t>
  </si>
  <si>
    <t>IEC62021-1 Y -2</t>
  </si>
  <si>
    <t>0.01 mgKOH/g</t>
  </si>
  <si>
    <t xml:space="preserve">Máx. 0,03 </t>
  </si>
  <si>
    <t xml:space="preserve">Max. 0,03 </t>
  </si>
  <si>
    <t>Max. 0,03</t>
  </si>
  <si>
    <t>&lt;0.15</t>
  </si>
  <si>
    <t>FACTOR POTENCIA 90°C (max)</t>
  </si>
  <si>
    <t>IEC 60247</t>
  </si>
  <si>
    <t xml:space="preserve">Max. 0,015 </t>
  </si>
  <si>
    <t>Max. 0,010</t>
  </si>
  <si>
    <t>&lt;0.10</t>
  </si>
  <si>
    <t>30 KV</t>
  </si>
  <si>
    <t>&gt; 55</t>
  </si>
  <si>
    <t>&gt; 60</t>
  </si>
  <si>
    <t>&lt;30</t>
  </si>
  <si>
    <t>&lt;40</t>
  </si>
  <si>
    <t>ASTM D971</t>
  </si>
  <si>
    <t xml:space="preserve">mín. 35 </t>
  </si>
  <si>
    <t xml:space="preserve">min. 35 </t>
  </si>
  <si>
    <t>min. 35</t>
  </si>
  <si>
    <t>&gt;28</t>
  </si>
  <si>
    <t>inhibido</t>
  </si>
  <si>
    <t>&gt;25</t>
  </si>
  <si>
    <t>no inhibido</t>
  </si>
  <si>
    <t>contenido agua (max)</t>
  </si>
  <si>
    <t>IEC60814 &lt;&gt; ASTM1533</t>
  </si>
  <si>
    <t>40 mg/Kg</t>
  </si>
  <si>
    <t xml:space="preserve"> &lt;10 </t>
  </si>
  <si>
    <t>&lt;10</t>
  </si>
  <si>
    <t>ISO 2049</t>
  </si>
  <si>
    <t xml:space="preserve">Claro libre de sedimentos y partículas suspendidas </t>
  </si>
  <si>
    <t>Claro y sin visibilidad
contaminación</t>
  </si>
  <si>
    <t>IEC62535 / ASTM D1275</t>
  </si>
  <si>
    <t>NO CORROSIVO</t>
  </si>
  <si>
    <t>no corrosivo</t>
  </si>
  <si>
    <t>IEC62697</t>
  </si>
  <si>
    <t>ND &lt;5mg/Kg</t>
  </si>
  <si>
    <t>&lt;5</t>
  </si>
  <si>
    <t>DENSIDAD 20°C (max)</t>
  </si>
  <si>
    <t>ISO 12185 /3675</t>
  </si>
  <si>
    <t>0.895 g/mL</t>
  </si>
  <si>
    <t>VISCOSIDAD (40°C) (max)</t>
  </si>
  <si>
    <t>ISO 3104</t>
  </si>
  <si>
    <t>3.5 mm2/s</t>
  </si>
  <si>
    <t>PCB</t>
  </si>
  <si>
    <t>IEC 61619</t>
  </si>
  <si>
    <t>ND &lt;2mg/Kg</t>
  </si>
  <si>
    <t>No detectable (&lt;2 mg / kg en total)</t>
  </si>
  <si>
    <t>Color</t>
  </si>
  <si>
    <t xml:space="preserve">Máx. 2,0 </t>
  </si>
  <si>
    <t xml:space="preserve">máx. 2,0 </t>
  </si>
  <si>
    <t>máx. 2,0</t>
  </si>
  <si>
    <t xml:space="preserve">Resistividad a 90 ° C (GΩ × m) </t>
  </si>
  <si>
    <t xml:space="preserve">mín. 60 </t>
  </si>
  <si>
    <t xml:space="preserve">min. 60 </t>
  </si>
  <si>
    <t>min. 60</t>
  </si>
  <si>
    <t>&gt;3</t>
  </si>
  <si>
    <t>Partículas</t>
  </si>
  <si>
    <t>IEC 60970</t>
  </si>
  <si>
    <r>
      <t xml:space="preserve">Ver tabla B.1 </t>
    </r>
    <r>
      <rPr>
        <vertAlign val="superscript"/>
        <sz val="11"/>
        <color theme="1"/>
        <rFont val="Calibri"/>
        <family val="2"/>
        <scheme val="minor"/>
      </rPr>
      <t>d</t>
    </r>
  </si>
  <si>
    <t>Inhibidor</t>
  </si>
  <si>
    <t>&lt;60% del vaLor original</t>
  </si>
  <si>
    <t>IEEE2271-100 6.102.9.3"No se pueden dar criterios para el nivel aceptable de degradación para el aislamiento del fluido (gas, petróleo, aire, etc.) ya que su resistencia requerida está vinculada a los criterios de diseño de cada tipo individual de interruptor automático".</t>
  </si>
  <si>
    <t>6.102.9.5 Reacondicionamiento después de un servicio de prueba de cortocircuito y otras series de prueba
Puede ser necesario llevar a cabo trabajos de mantenimiento en el interruptor automático después de realizar un ensayo de cortocircuito u otras series de prueba para restaurarlo a la condición original especificada por el fabricante. Por ejemplo, puede ser necesario
a) reparar o reemplazar los contactos de arco y cualquier otra parte renovable recomendada por el fabricante;
b) renovar o filtrar el aceite, o cualquier otro medio de extinción, y agregar cualquier cantidad del medio necesario para restaurar su nivel o densidad normal;
c) eliminar el depósito, causado por la descomposición del medio de extinción, del aislamiento interno.
Un interruptor de clase E2 no deberá reacondicionarse durante las tareas de prueba de cortocircuito básicas, indicadas en 6.106.</t>
  </si>
  <si>
    <t>IEC 60422:2013</t>
  </si>
  <si>
    <t>Categoría O- Transformadores de potencia / reactores con una tensión de sistema nominal de 400 kV y superior</t>
  </si>
  <si>
    <t>Categoría A - Transformadores de potencia / reactores con una tensión nominal del sistema superior a 170 kV e inferior a 400 kV. También transformadores de potencia de cualquier voltaje nominal donde la continuidad del suministro es vital y equipos similares para aplicaciones especiales que operan bajo condición onerosa.</t>
  </si>
  <si>
    <t>Categoría B - Transformadores / reactores de potencia con una tensión nominal del sistema superior a 72,5 kV y hasta e incluyendo 170 kV (distintos de los de la Categoría A)</t>
  </si>
  <si>
    <t>Categoría C - Transformadores de potencia / reactores para aplicaciones de MV / LV, p. tensiones nominales del sistema de hasta 72,5 kV e inclusive transformadores de tracción (distintos de los de la Categoría A).</t>
  </si>
  <si>
    <t>breakers (Interruptores) con aceite con una tensión nominal del sistema superior a 72,5 kV.</t>
  </si>
  <si>
    <t>OLTC llenos de aceite, a.c. Dispositivo de distribución y equipo de control con carcasa metálica con una tensión nominal del sistema superior o igual a 16 kV</t>
  </si>
  <si>
    <t>Categoría D - Instrumentos / Transformadores de protección con una tensión nominal del sistema superior a 170 kV</t>
  </si>
  <si>
    <t>Categoría E -  Instrumentos / Transformadores de protección con un voltaje de sistema nominal de hasta 170 kV inclusive</t>
  </si>
  <si>
    <t>Categoría F - Tanques de desviación de cambiadores de tomas en carga, incluidos tanques combinadores / desviadores combinados</t>
  </si>
  <si>
    <t>Categoría G - Interruptores con relleno de aceite con una tensión nominal del sistema de hasta 72,5 kV inclusive.</t>
  </si>
  <si>
    <t>Interruptores llenos de aceite, a.c. Dispositivo de distribución y equipo de control con carcasa metálica con una tensión nominal del sistema inferior a 16 kV</t>
  </si>
  <si>
    <t>NOTA 1 Los depósitos selectores separados de cambiadores de tomas en carga pertenecen a la misma categoría que el transformador asociado.</t>
  </si>
  <si>
    <t>NOTA 2 Los casquillos de papel impregnados con aceite y otros equipos herméticamente sellados pueden colocarse en la Categoría D o E si se desea un programa de monitoreo de rutina. Se deben consultar las instrucciones del fabricante.</t>
  </si>
  <si>
    <t>NOTA 3 Independientemente del tamaño o voltaje, una evaluación de riesgos puede justificar las técnicas de monitoreo de condiciones generalmente apropiadas para una clasificación más alta.</t>
  </si>
  <si>
    <t>NOTA 4 Por razones prácticas y económicas, algunas empresas eléctricas pueden decidir que sus pequeños transformadores de hasta 1 MVA y 36 kV no están incluidos en esta clasificación. Los programas de monitoreo de rutina pueden no ser considerados económicos para este tipo de equipo. Cuando se requiere un programa de monitoreo para estos transformadores, las pautas dadas para la categoría C deberían ser adecuadas.</t>
  </si>
  <si>
    <t>Tabla 3 - Límites recomendados para aceites minerales aislantes después del llenado en un nuevo equipo eléctrico antes de la energización</t>
  </si>
  <si>
    <t xml:space="preserve">Propiedad </t>
  </si>
  <si>
    <t>Apariencia</t>
  </si>
  <si>
    <t>Claro, libre de sedimentos y materia en suspensión</t>
  </si>
  <si>
    <t xml:space="preserve">Color (en la escala indicada en ISO 2049) </t>
  </si>
  <si>
    <t>Voltaje de ruptura (kV)</t>
  </si>
  <si>
    <t>IEC 60156</t>
  </si>
  <si>
    <r>
      <t xml:space="preserve">Contenido de agua (mg / kg) </t>
    </r>
    <r>
      <rPr>
        <vertAlign val="superscript"/>
        <sz val="11"/>
        <color theme="1"/>
        <rFont val="Calibri"/>
        <family val="2"/>
        <scheme val="minor"/>
      </rPr>
      <t xml:space="preserve">a </t>
    </r>
  </si>
  <si>
    <t>IEC 60814</t>
  </si>
  <si>
    <r>
      <t xml:space="preserve">20 </t>
    </r>
    <r>
      <rPr>
        <vertAlign val="superscript"/>
        <sz val="11"/>
        <color theme="1"/>
        <rFont val="Calibri"/>
        <family val="2"/>
        <scheme val="minor"/>
      </rPr>
      <t>b</t>
    </r>
  </si>
  <si>
    <t xml:space="preserve">Acidez (mg KOH / g) </t>
  </si>
  <si>
    <t>IEC 62021-1 or
IEC 62021-2</t>
  </si>
  <si>
    <t>Factor de disipación dieléctrica a 90 ° C y 40 Hz a 60 Hz c</t>
  </si>
  <si>
    <t xml:space="preserve">Azufre corrosivo </t>
  </si>
  <si>
    <t>IEC 62535
ASTM D1275, Method B
DIN 51353</t>
  </si>
  <si>
    <t>No corrosivo</t>
  </si>
  <si>
    <t xml:space="preserve">Contenido de DBDS (mg / kg) </t>
  </si>
  <si>
    <t>IEC 62697-1</t>
  </si>
  <si>
    <t xml:space="preserve">Tensión interfacial (mN / m) </t>
  </si>
  <si>
    <t>ASTM D971
EN 14210</t>
  </si>
  <si>
    <t xml:space="preserve">Contenido total de PCB (mg / kg) </t>
  </si>
  <si>
    <t xml:space="preserve"> - </t>
  </si>
  <si>
    <t>a Los valores no se corrigen para la temperatura ya que no ha transcurrido el tiempo suficiente para alcanzar un equilibrio entre el aislamiento de aceite y celulosa.</t>
  </si>
  <si>
    <t>b Para uso en transformadores de clase de 72,5 kV, el contenido máximo de agua debe acordarse entre el proveedor y el usuario, dependiendo de las circunstancias locales.</t>
  </si>
  <si>
    <t>c Los valores más altos del factor de disipación dieléctrica pueden indicar una contaminación excesiva, o la aplicación incorrecta de materiales sólidos utilizados en la fabricación, y deben investigarse.</t>
  </si>
  <si>
    <t>d Se debe realizar una determinación del tamaño y la cantidad de partículas como referencia para futuras comparaciones en transformadores&gt; 170 kV.</t>
  </si>
  <si>
    <t>Densidad</t>
  </si>
  <si>
    <t>ISO 3675</t>
  </si>
  <si>
    <r>
      <t xml:space="preserve">Tabla 4 - Frecuencia recomendada de ensayos </t>
    </r>
    <r>
      <rPr>
        <b/>
        <vertAlign val="superscript"/>
        <sz val="11"/>
        <color theme="1"/>
        <rFont val="Calibri"/>
        <family val="2"/>
        <scheme val="minor"/>
      </rPr>
      <t>a</t>
    </r>
  </si>
  <si>
    <r>
      <t xml:space="preserve">Propiedad </t>
    </r>
    <r>
      <rPr>
        <vertAlign val="superscript"/>
        <sz val="11"/>
        <color theme="1"/>
        <rFont val="Calibri"/>
        <family val="2"/>
        <scheme val="minor"/>
      </rPr>
      <t>b</t>
    </r>
  </si>
  <si>
    <r>
      <t xml:space="preserve">Categoría de equipamiento </t>
    </r>
    <r>
      <rPr>
        <vertAlign val="superscript"/>
        <sz val="11"/>
        <color theme="1"/>
        <rFont val="Calibri"/>
        <family val="2"/>
        <scheme val="minor"/>
      </rPr>
      <t>c</t>
    </r>
  </si>
  <si>
    <t xml:space="preserve">O </t>
  </si>
  <si>
    <t xml:space="preserve">A </t>
  </si>
  <si>
    <t xml:space="preserve">B </t>
  </si>
  <si>
    <r>
      <t xml:space="preserve">C </t>
    </r>
    <r>
      <rPr>
        <vertAlign val="superscript"/>
        <sz val="11"/>
        <color theme="1"/>
        <rFont val="Calibri"/>
        <family val="2"/>
        <scheme val="minor"/>
      </rPr>
      <t xml:space="preserve">d </t>
    </r>
  </si>
  <si>
    <r>
      <t xml:space="preserve">D </t>
    </r>
    <r>
      <rPr>
        <b/>
        <vertAlign val="superscript"/>
        <sz val="11"/>
        <color theme="1"/>
        <rFont val="Calibri"/>
        <family val="2"/>
        <scheme val="minor"/>
      </rPr>
      <t xml:space="preserve">e </t>
    </r>
  </si>
  <si>
    <r>
      <t xml:space="preserve">E </t>
    </r>
    <r>
      <rPr>
        <b/>
        <vertAlign val="superscript"/>
        <sz val="11"/>
        <color theme="1"/>
        <rFont val="Calibri"/>
        <family val="2"/>
        <scheme val="minor"/>
      </rPr>
      <t xml:space="preserve">e </t>
    </r>
  </si>
  <si>
    <t>F</t>
  </si>
  <si>
    <t xml:space="preserve"> G</t>
  </si>
  <si>
    <r>
      <t>Grupo 1 (pruebas de rutina)</t>
    </r>
    <r>
      <rPr>
        <vertAlign val="superscript"/>
        <sz val="11"/>
        <color theme="1"/>
        <rFont val="Calibri"/>
        <family val="2"/>
        <scheme val="minor"/>
      </rPr>
      <t xml:space="preserve"> f</t>
    </r>
    <r>
      <rPr>
        <sz val="11"/>
        <color theme="1"/>
        <rFont val="Calibri"/>
        <family val="2"/>
        <scheme val="minor"/>
      </rPr>
      <t xml:space="preserve"> - años </t>
    </r>
  </si>
  <si>
    <t xml:space="preserve">1 a 2 </t>
  </si>
  <si>
    <t xml:space="preserve">1 a 3 </t>
  </si>
  <si>
    <t>1 a 4</t>
  </si>
  <si>
    <t xml:space="preserve"> 2 a 6 </t>
  </si>
  <si>
    <t xml:space="preserve">2 a 6 </t>
  </si>
  <si>
    <t>2 a 6</t>
  </si>
  <si>
    <t xml:space="preserve">Grupo 2 (pruebas complementarias) </t>
  </si>
  <si>
    <t>g</t>
  </si>
  <si>
    <t xml:space="preserve">Grupo 3 (pruebas especiales de investigación) </t>
  </si>
  <si>
    <t>h</t>
  </si>
  <si>
    <t xml:space="preserve">Grupo 3 (contenido pasivador) </t>
  </si>
  <si>
    <t>6 meses o menos, dependiendo de la tasa de disminución y el valor absoluto.</t>
  </si>
  <si>
    <t>a Estos períodos propuestos se refieren a un programa de mantenimiento de rutina normal. Si una o más de las propiedades medidas indica que el aceite está en condiciones buenas o malas o si se observa una tendencia de envejecimiento anormal, estos períodos deben acortarse según la importancia del equipo. Estos períodos también pueden ser</t>
  </si>
  <si>
    <t>acortado en el caso de los aceites contaminados por PCB con el fin de minimizar cualquier posible impacto ambiental causado por el mal funcionamiento del equipo.</t>
  </si>
  <si>
    <t>b Los grupos 1, 2 y 3 se definen en la cláusula 3 y como nota al pie de la tabla 1.</t>
  </si>
  <si>
    <t>c Las categorías de los equipos se definen en la Tabla 2.</t>
  </si>
  <si>
    <t>d Ver 9.2 d).</t>
  </si>
  <si>
    <t>e Categorías D y E. Después de que se haya tomado la primera muestra, el usuario, después de consultar con el fabricante y / o el laboratorio, puede decidir alargar el período de muestreo.</t>
  </si>
  <si>
    <t>f Las pruebas del Grupo 1 deben realizarse después de llenar o rellenar el transformador, antes de la activación.</t>
  </si>
  <si>
    <t>g Estas pruebas se pueden hacer periódicamente, pero con menos frecuencia que las pruebas de rutina. La frecuencia dependerá del tipo de aceite, la edad y el equipo. Las primeras mediciones (de referencia) deben realizarse en equipos nuevos o reacondicionados antes de la activación.</t>
  </si>
  <si>
    <t>h Estas son pruebas muy especiales que solo deben llevarse a cabo bajo circunstancias especiales</t>
  </si>
  <si>
    <t>Tabla 5 - Aplicación e interpretación de pruebas (1 de 4)</t>
  </si>
  <si>
    <t>Propiedad</t>
  </si>
  <si>
    <r>
      <t xml:space="preserve">Categoría </t>
    </r>
    <r>
      <rPr>
        <vertAlign val="superscript"/>
        <sz val="11"/>
        <color theme="1"/>
        <rFont val="Calibri"/>
        <family val="2"/>
        <scheme val="minor"/>
      </rPr>
      <t>a</t>
    </r>
  </si>
  <si>
    <t>Límites de acción recomendado</t>
  </si>
  <si>
    <r>
      <t xml:space="preserve">Acción sugerida  </t>
    </r>
    <r>
      <rPr>
        <vertAlign val="superscript"/>
        <sz val="11"/>
        <color theme="1"/>
        <rFont val="Calibri"/>
        <family val="2"/>
        <scheme val="minor"/>
      </rPr>
      <t xml:space="preserve">b, c </t>
    </r>
  </si>
  <si>
    <t>Notas</t>
  </si>
  <si>
    <t>Bueno</t>
  </si>
  <si>
    <t>Justo</t>
  </si>
  <si>
    <t>Pobre</t>
  </si>
  <si>
    <t>Color y apariencia
 </t>
  </si>
  <si>
    <t xml:space="preserve"> Todas
</t>
  </si>
  <si>
    <t>Oscuro y / o turbio</t>
  </si>
  <si>
    <t>Según lo dictado por otras pruebas</t>
  </si>
  <si>
    <t>El color oscuro es un síntoma de contaminación química
 o envejecimiento.
La turbidez es un síntoma de un alto contenido de agua</t>
  </si>
  <si>
    <t xml:space="preserve">
Voltaje de ruptura (kV)</t>
  </si>
  <si>
    <t>O,A,D</t>
  </si>
  <si>
    <t>&gt;60</t>
  </si>
  <si>
    <t>50 a 60</t>
  </si>
  <si>
    <t>&lt;50</t>
  </si>
  <si>
    <t>Bueno: continúe con el muestreo normal.
Justo: Muestreo más frecuente. Compruebe otros parámetros, p. agua, contenido de partículas y quizás DDF / resistividad y acidez.
Malo: reacondicione el aceite (vea 11.2) o, como alternativa, si es más económico porque otras pruebas indican envejecimiento severo, reemplace (vea la Cláusula 12) o recupere (vea 11.3) el aceite combinado con los procedimientos de secado posteriores.</t>
  </si>
  <si>
    <t>B,E</t>
  </si>
  <si>
    <t>&gt;50</t>
  </si>
  <si>
    <t>40 a 50</t>
  </si>
  <si>
    <t>C</t>
  </si>
  <si>
    <t>&gt;40</t>
  </si>
  <si>
    <t>30 a 40</t>
  </si>
  <si>
    <t>&lt;30 KV  para OLTC en star-point aplicación</t>
  </si>
  <si>
    <t>&lt;40 KV para OLTC en delta o line-end aplicación</t>
  </si>
  <si>
    <t>G</t>
  </si>
  <si>
    <t>Contenido de agua (mg / kg a la temperatura de funcionamiento del transformador)</t>
  </si>
  <si>
    <t>O,A</t>
  </si>
  <si>
    <t>&lt;15</t>
  </si>
  <si>
    <t>15 a 20</t>
  </si>
  <si>
    <t>&gt;20</t>
  </si>
  <si>
    <t>Bueno: continúe con el muestreo normal.
Justo: Muestreo más frecuente. Verifique otros parámetros, p. voltaje de ruptura, contenido de partículas y quizás DDF / resistividad y acidez.
Malo: Revise la fuente de agua, reacondicione el aceite (vea 11.2) o, alternativamente, si es más económico porque otras pruebas indican envejecimiento severo, reemplace (vea la Cláusula 12) o reclame (vea 11.3) el aceite combinado con los procedimientos de secado subsiguientes, aunque debe tomarse la cantidad de agua que aún se conservará en el aislamiento sólido</t>
  </si>
  <si>
    <t>Los valores de contenido de agua se deben considerar siempre junto con los valores de voltaje de ruptura. En caso de sospecha de un problema de humedad, se recomienda tomar muestras a diferentes temperaturas del equipo.
En el caso de equipos de conmutación sin aislamiento de papel (Categoría F), los valores de voltaje de ruptura son de importancia primordial. Los valores límite listados representan 90% de valores estadísticos y son válidos para las temperaturas de operación del transformador. El equilibrio entre el aislamiento sólido y líquido por debajo de 40 ° C no es confiable y para los transformadores de carga pesada con temperatura del aceite por encima de 70 ° C puede ser útil una implementación del procedimiento de corrección descrito en el Anexo A.</t>
  </si>
  <si>
    <t>B,D</t>
  </si>
  <si>
    <t>&lt;20</t>
  </si>
  <si>
    <t>20 a 30</t>
  </si>
  <si>
    <t>&gt;30</t>
  </si>
  <si>
    <t>C,E</t>
  </si>
  <si>
    <t>Necesaria acción &gt;40</t>
  </si>
  <si>
    <t>No es una prueba de rutina</t>
  </si>
  <si>
    <t>Acidez (mg KOH/gaceite)</t>
  </si>
  <si>
    <t>0.10 a 0.15</t>
  </si>
  <si>
    <t>&gt;0.15</t>
  </si>
  <si>
    <t>Bueno: continúe con el muestreo normal.
Justo: Muestreo más frecuente. Verifique la presencia de sedimentos y lodo. Un aceite inhibido que alcanzó valores razonables posiblemente haya perdido su protección contra la oxidación.
Deficiente: a partir de un valor de 0,15, se puede tomar una decisión en qué punto reclamar el aceite (ver 11.3) o, alternativamente, si pruebas más económicas y de otro tipo indican envejecimiento severo, reemplazar el aceite (ver Cláusula 12)</t>
  </si>
  <si>
    <t>0.10 a 0.20</t>
  </si>
  <si>
    <t>&gt;0.20</t>
  </si>
  <si>
    <t>0.15 a 0.30</t>
  </si>
  <si>
    <t>&gt;0.30</t>
  </si>
  <si>
    <t>F,G</t>
  </si>
  <si>
    <t>Factor de disipación eléctrica a 40HZ a 60 HZ a 90°C</t>
  </si>
  <si>
    <t>Bueno: continúe con el muestreo normal.
Justo: Muestreo más frecuente. Ver otros parámetros
Pobre: recuperar aceite (ver 11.3) o, alternativamente, si es más económico porque otras pruebas indican envejecimiento severo, reemplace el aceite (vea la Cláusula 12)</t>
  </si>
  <si>
    <t>B,C</t>
  </si>
  <si>
    <t>0.10 a 0.50</t>
  </si>
  <si>
    <t>&gt;0.50</t>
  </si>
  <si>
    <t>D</t>
  </si>
  <si>
    <t>&lt;0.01</t>
  </si>
  <si>
    <t>0.01 a 0.03</t>
  </si>
  <si>
    <t>&gt;0.03</t>
  </si>
  <si>
    <t>Consulte las mejores prácticas del fabricante</t>
  </si>
  <si>
    <t>E</t>
  </si>
  <si>
    <t>0.10 a 0.30</t>
  </si>
  <si>
    <t>Resistividad (G M</t>
  </si>
  <si>
    <t xml:space="preserve"> A 20°C</t>
  </si>
  <si>
    <t>Bueno: continúe con el muestreo normal.
Justo: Muestreo más frecuente. Ver otros parámetros
Malo: Recupere el aceite (vea 11.3) o alternativamente, si es más económico porque otras pruebas indican un envejecimiento severo, reemplace el aceite (vea la Cláusula 12)</t>
  </si>
  <si>
    <t>&gt;200</t>
  </si>
  <si>
    <t>20 a 200</t>
  </si>
  <si>
    <t>4 a 60</t>
  </si>
  <si>
    <t>&lt;4</t>
  </si>
  <si>
    <t>&gt;800</t>
  </si>
  <si>
    <t>250 a 800</t>
  </si>
  <si>
    <t>&lt;250</t>
  </si>
  <si>
    <t>7 a 60</t>
  </si>
  <si>
    <t>&lt;7</t>
  </si>
  <si>
    <t>A 90°C</t>
  </si>
  <si>
    <t>&gt;10</t>
  </si>
  <si>
    <t>3 a 10</t>
  </si>
  <si>
    <t>&lt;3</t>
  </si>
  <si>
    <t>0.2 a 3</t>
  </si>
  <si>
    <t>&lt;0.2</t>
  </si>
  <si>
    <t>10 a 50</t>
  </si>
  <si>
    <t>0.4 a 3</t>
  </si>
  <si>
    <t>&lt;0.4</t>
  </si>
  <si>
    <t>Contenido de inhibidor</t>
  </si>
  <si>
    <t>todas</t>
  </si>
  <si>
    <t>&lt;60% del vaor original</t>
  </si>
  <si>
    <t>40 a 60% del valor original</t>
  </si>
  <si>
    <t>&lt;40% del valor original</t>
  </si>
  <si>
    <t>Bueno: ninguna acción requiere si no está indicada por otras propiedades.
Justo: (donde la acidez es &lt;0,08 mg KOH / gy la IFT&gt; 28 mN / m). Considere volver a la inhibición al nivel original de la línea de base en función de la experiencia local.
Malo: Continúe usando y controlando como aceite desinhibido, reclame (vea 11.3) o cambie el aceite (vea la Cláusula 12)</t>
  </si>
  <si>
    <t>Restringido a aceites inhibidos
Consulte al proveedor de aceite</t>
  </si>
  <si>
    <t>Contenido de Pasivador (mg/Kg)</t>
  </si>
  <si>
    <t>O,A,B,C,D,E,F</t>
  </si>
  <si>
    <t>&gt;70 y estable (velocidad de decrecimiento &lt;10mg/Kg año)</t>
  </si>
  <si>
    <t>50-70mg/kg o &lt;70mg/kg con un significativo velocidad de decrecimiento de &gt;10mg/kg/año</t>
  </si>
  <si>
    <t>&lt;50 y decrecimiento a &gt;10 mg/kg/año</t>
  </si>
  <si>
    <t>Bueno: menos monitoreo frecuente aceptable.
Justo: mantener un control regular.
Deficiente: elimine la fuente de corrosividad cambiando el aceite (vea la Cláusula 12) o eliminando los compuestos corrosivos mediante tratamientos de aceite adecuados, o como una solución a corto plazo, rellene con un pasivador nuevo, hasta al menos 100 mg / kg (consulte Cláusula 13)</t>
  </si>
  <si>
    <t>El aceite envejecido, especialmente el desinhibido, corre un mayor riesgo de agotamiento rápido del pasivador</t>
  </si>
  <si>
    <t>Sedimentos y lodos (%)</t>
  </si>
  <si>
    <t>Sin sedimentos ni sedimentos precipitables. Los resultados por debajo del 0,02% en masa pueden descuidarse</t>
  </si>
  <si>
    <t>Donde se detecta sedimento, reacondicione el aceite (11.2).
Cuando se detecta lodo precipitable, recuperar aceite (ver 11.3).
De forma alternativa, si lo determinan más económicos u otras pruebas, reemplace el aceite (vea la Cláusula 12).</t>
  </si>
  <si>
    <t>No es una prueba de rutina. Realice solo cuando los valores de acidez y factor de disipación estén cerca de los límites</t>
  </si>
  <si>
    <t>Tensión Interfacial (mN/m)</t>
  </si>
  <si>
    <t>Bueno: continúe con el muestreo normal.
Justo: Muestreo más frecuente.
Deficiente: verificar la presencia de sedimentos y lodos</t>
  </si>
  <si>
    <t>No es una prueba de rutina. Se puede hacer como se desee</t>
  </si>
  <si>
    <t xml:space="preserve"> INHIBIDO </t>
  </si>
  <si>
    <t>22 A 28</t>
  </si>
  <si>
    <t>&lt;22</t>
  </si>
  <si>
    <t xml:space="preserve"> NO INHIBIDO</t>
  </si>
  <si>
    <t>20 A 25</t>
  </si>
  <si>
    <t>NO APLICABLE</t>
  </si>
  <si>
    <t>Azufre Corrosivo</t>
  </si>
  <si>
    <t>Para aceite corrosivo:
- realizar una evaluación de riesgos
- reducir la corrosividad del aceite mediante la adición de un pasivador de cobre (por ejemplo, derivados de triazol) o
- eliminar la fuente de corrosividad cambiando el aceite (ver Cláusula 12) o quitando
compuestos corrosivos por medio de tratamientos de aceites adecuados.
Ver d</t>
  </si>
  <si>
    <t>La necesidad de acciones correctivas debe evaluarse cuidadosamente sobre la base de un estudio de evaluación de riesgos (folleto CIGRÉ n. ° 378, 2009 [5].
Después de la pasivación del aceite, monitorear regularmente la concentración del
pasivador es necesario.
En caso de agotamiento continuo de la concentración del pasivador eliminar
la causa de la corrosividad de acuerdo con las acciones recomendadas</t>
  </si>
  <si>
    <t>Paticulas(conteo y tamaño)</t>
  </si>
  <si>
    <t>Ver tabla 9</t>
  </si>
  <si>
    <t>Si el voltaje de ruptura y el contenido de agua están cerca o fuera del límite para la categoría de equipo apropiada y el número de partículas es mayor que los límites para cualquiera de los rangos de tamaño, filtre el aceite (consulte 11.2)</t>
  </si>
  <si>
    <t>Los valores de partículas se basan en la evaluación estadística (Tabla 9).
Ver e</t>
  </si>
  <si>
    <t>Punto destello (flash point)</t>
  </si>
  <si>
    <t>all</t>
  </si>
  <si>
    <t>Maximo decresimiento 10%</t>
  </si>
  <si>
    <t>El equipo puede requerir una inspección. Investigar</t>
  </si>
  <si>
    <t>No es una prueba de rutina. Puede requerirse cuando se nota un olor inusual, cuando
falla interna o cuando se rellena un transformador.
En algunos países, la legislación de salud y seguridad puede impedir un límite superior</t>
  </si>
  <si>
    <t>pcb</t>
  </si>
  <si>
    <t>ver nota 5.16</t>
  </si>
  <si>
    <t>See 11.4 and 12.3</t>
  </si>
  <si>
    <t xml:space="preserve"> See 5.16</t>
  </si>
  <si>
    <t>a. Categoría de equipamiento (ver Tabla 2).
b Asegurar que el muestreo se realizó correctamente, la válvula de muestreo se limpió adecuadamente antes del muestreo (Cláusula 6) y los períodos de transporte y almacenamiento en el laboratorio fueron cortos.
c No se debe tomar ninguna acción sobre la base de un resultado y una propiedad. Todos los resultados se confirmarán con una muestra repetida, especialmente si el resultado parece anormal en comparación con la tendencia de los resultados anteriores obtenidos.
d Si la prueba de corrosividad del aceite es positiva y el DBDS está presente, siga las recomendaciones del Folleto 378: 2009 de CIGRÉ [3] para las medidas de mitigación apropiadas.
e Si hay una tendencia a que las partículas aumenten, puede ser necesario hacer una determinación de los metales y otros elementos disueltos en el aceite (ver Tabla B.1).</t>
  </si>
  <si>
    <t>Tabla 6 - Resumen de acciones típicas</t>
  </si>
  <si>
    <t xml:space="preserve">Factores clave </t>
  </si>
  <si>
    <t xml:space="preserve">Síntomas </t>
  </si>
  <si>
    <t>Acciones correctivas</t>
  </si>
  <si>
    <t>FISICOS</t>
  </si>
  <si>
    <t>alto contenido de agua</t>
  </si>
  <si>
    <t>Reacondicionamiento (ver 11.2)</t>
  </si>
  <si>
    <t>Bajo voltaje de ruptura</t>
  </si>
  <si>
    <t>Alto contenido de partículas</t>
  </si>
  <si>
    <t>Turbio (no claro)</t>
  </si>
  <si>
    <t>QUIMICOS</t>
  </si>
  <si>
    <t>Alto valor de color</t>
  </si>
  <si>
    <t>Regenere (ver 11.3): o Cambie el aceite (vea la Cláusula 13)</t>
  </si>
  <si>
    <t>Bajo IFT</t>
  </si>
  <si>
    <t>Alto valor de acidez</t>
  </si>
  <si>
    <t>Alto valor del factor de disipación</t>
  </si>
  <si>
    <t>Presencia de sedimentos o lodo, o ambos</t>
  </si>
  <si>
    <t>Bajo contenido de inhibidor, para aceite inhibido</t>
  </si>
  <si>
    <t>Restaure la concentración aditiva original de acuerdo con las recomendaciones en Tabla 5</t>
  </si>
  <si>
    <t>Contenido bajo de pasivador en el aceite</t>
  </si>
  <si>
    <t xml:space="preserve">Contaminación de PCB  detectable </t>
  </si>
  <si>
    <t>Consulte las reglamentaciones locales (consulte 11.4)</t>
  </si>
  <si>
    <t xml:space="preserve">Corrosividad del aceite </t>
  </si>
  <si>
    <t>Realice una evaluación de riesgos y corrija como sea necesario:</t>
  </si>
  <si>
    <t>- pasivación (véase la cláusula 13)</t>
  </si>
  <si>
    <t>- cambio de aceite (ver Cláusula 12)</t>
  </si>
  <si>
    <t>- Regenerar (ver 11.3)</t>
  </si>
  <si>
    <t>NOTA 1 En algunos casos, si la contaminación química es extremadamente alta, puede ser más económico reemplazarla</t>
  </si>
  <si>
    <t>el aceite. Se recomienda una prueba de viabilidad de recuperación (ver 11.3.3).</t>
  </si>
  <si>
    <t>NOTA 2 Cuanto más viejo es el aceite en el momento de la pasivación, y cuanto más severas sean las condiciones de operación,</t>
  </si>
  <si>
    <t>mayor es el riesgo de que la pasivación no sea un remedio suficiente a largo plazo. Un esquema más detallado para tratar con</t>
  </si>
  <si>
    <t>la corrosión corrosiva y la formación de sulfuro de cobre se propone en CIGRÉ, Folleto no. 378, 2009 [5].</t>
  </si>
  <si>
    <t>• Los resultados obtenidos de las pruebas de índice de neutralización (acidez), pérdidas dieléctricas, rigidez dieléctrica (24°C)  y contenido de agua están dentro de los valores recomendados por la Norma ASTM D6871.</t>
  </si>
  <si>
    <t>ANALISIS   FISICOQUIMICO ASTM D6871</t>
  </si>
  <si>
    <t>ACEITE</t>
  </si>
  <si>
    <t>PERDIDAS (max)</t>
  </si>
  <si>
    <t>25°C</t>
  </si>
  <si>
    <t>90°C</t>
  </si>
  <si>
    <t>100°C</t>
  </si>
  <si>
    <t>analisis</t>
  </si>
  <si>
    <t>horas</t>
  </si>
  <si>
    <t>costo $</t>
  </si>
  <si>
    <t>VISUAL (max)</t>
  </si>
  <si>
    <t>claro, limpio</t>
  </si>
  <si>
    <t>fisicoquimicos</t>
  </si>
  <si>
    <t>cromatograficos</t>
  </si>
  <si>
    <t xml:space="preserve">furanos </t>
  </si>
  <si>
    <t>metales</t>
  </si>
  <si>
    <t>HH terceros</t>
  </si>
  <si>
    <t>TOTAL</t>
  </si>
  <si>
    <t>INHIBIDOR ACEITE TIPO II</t>
  </si>
  <si>
    <t>OTRO</t>
  </si>
  <si>
    <t>vegetal</t>
  </si>
  <si>
    <t>IEEEC57.155</t>
  </si>
  <si>
    <t>CR</t>
  </si>
  <si>
    <t>• Según los resultados obtenidos, se detectó Xppm de 5-Tolutriazol (TTA) en la muestra de aceite.</t>
  </si>
  <si>
    <t>• Según los resultados obtenidos, se detectó Xppm de Benzotriazol (BTA) en la muestra de aceite.</t>
  </si>
  <si>
    <t>PASIVADORES</t>
  </si>
  <si>
    <t>50-70 ppm</t>
  </si>
  <si>
    <t>&lt;50 ppm</t>
  </si>
  <si>
    <t>&gt;70 ppm</t>
  </si>
  <si>
    <t>• De acuerdo al resultado obtenido (&lt;50 ppm), la cantidad de contenido de pasivador es deficiente tomando como referencia la norma IEC 60422:2013.
• Se recomienda  eliminar la fuente de corrosividad cambiando el aceite o eliminando los compuestos corrosivos mediante tratamientos de aceite adecuados, o como una solución a corto plazo, rellene con un pasivador nuevo, hasta al menos 100 ppm.</t>
  </si>
  <si>
    <t>• De acuerdo al resultado obtenido (50-70 ppm), la cantidad de contenido de pasivador es justo tomando como referencia la norma IEC 60422:2013.
• Se recomienda mantener un control regular.</t>
  </si>
  <si>
    <t>• De acuerdo al resultado obtenido (&gt;70 ppm), la cantidad de contenido de pasivador es bueno tomando como referencia la norma IEC 60422:2013
• Se recomienda realizar menos monitoreos frecuente aceptable.</t>
  </si>
  <si>
    <r>
      <t xml:space="preserve">• Los resultados obtenidos de las pruebas detectaron </t>
    </r>
    <r>
      <rPr>
        <sz val="11"/>
        <color rgb="FFFF0000"/>
        <rFont val="Calibri"/>
        <family val="2"/>
        <scheme val="minor"/>
      </rPr>
      <t>165</t>
    </r>
    <r>
      <rPr>
        <sz val="11"/>
        <color theme="1"/>
        <rFont val="Calibri"/>
        <family val="2"/>
        <scheme val="minor"/>
      </rPr>
      <t xml:space="preserve">ppm de PCB's en la muestra de aceite aislante, se considera contaminado con PCB's según Norma IEC 60422:2013.
• De acuerdo a la guía Metodológica para el Inventario de Existencias y residuos para la identificaciín de Bifenilos Policlorados (2020), el producto de aceite dieléctrico analizado se encuentra </t>
    </r>
    <r>
      <rPr>
        <sz val="11"/>
        <color rgb="FFFF0000"/>
        <rFont val="Calibri"/>
        <family val="2"/>
        <scheme val="minor"/>
      </rPr>
      <t>FUERA</t>
    </r>
    <r>
      <rPr>
        <sz val="11"/>
        <color theme="1"/>
        <rFont val="Calibri"/>
        <family val="2"/>
        <scheme val="minor"/>
      </rPr>
      <t xml:space="preserve"> de la concentración permitida en el parámetro de PCB (&lt;50mg/kg). Para mayor información:http://www.minem.gob.pe/minem/archivos; El ensayo fue subcontratado a SGS del Perú S.A., acreditado por INACAL.</t>
    </r>
  </si>
  <si>
    <t>• Según Norma IEC 60422:2013 el aceite se considera libre de PCB’s cuando lo detectado es menor a 2 ppm.
• De acuerdo a la guía Metodológica para el Inventario de Existencias y residuos para la identificación de Bifenilos Policlorados (2020), el producto de aceite dieléctrico analizado se encuentra DENTRO de la concentración permitida en el parámetro de PCB (&lt;50mg/kg). Para mayor información:http://www.minem.gob.pe/minem/archivos. El ensayo fue subcontratado a SGS del Perú S.A., acreditado por INACAL.</t>
  </si>
  <si>
    <t>• Las cantidades de gases detectados se encuentran dentro de los valores típicos dados por la Norma IEC60599:2022.
• Haciendo referencia al punto 9 de la Norma IEC60599:2022 se debería hacer un nuevo muestreo dentro de doce meses para evaluar la tendencia de los gases detectados.
• Los ensayos fueron subcontratados a un laboratorio externo.</t>
  </si>
  <si>
    <t>• La cantidad de monóxido de carbono detectado se encuentra por encima del valor típico dado por la Norma IEC60599:2022.
• Haciendo referencia al punto 9 de la Norma IEC60599:2022 se debería hacer un nuevo muestreo dentro de seis meses para evaluar la tendencia de los gases detectados.</t>
  </si>
  <si>
    <t>• Las cantidades de hidrógeno, metano, etileno, etano, acetileno, monóxido y dióxido de carbono se encuentran por encima de los valores típicos dados por la Norma IEC60599:2022.
• Haciendo referencia al punto 9 de la Norma IEC60599:2022 se debería hacer un nuevo muestreo dentro de tres meses para evaluar la tendencia de los gases detectados.</t>
  </si>
  <si>
    <t>• Las cantidades de gases detectados se encuentran dentro de los valores típicos dados por la Norma IEC60599:1999+A1:2022.
(*) Este valor depende del diseño y ensamble del conmutador. Por esta razón no se consigna valor límite para el acetileno IEC60599:2015 Tabla A.4 pág 51.</t>
  </si>
  <si>
    <t>(*) Norma de diagnóstico:  IEC60599:2022, para el aceite del conmutador no se tiene referencia de valores típicos.</t>
  </si>
  <si>
    <t>• Según los resultados obtenidos, se detectó Xppm de M como compuestos metálicos en la muestra de aceite.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</si>
</sst>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S/&quot;\ #,##0.00;[Red]&quot;S/&quot;\ \-#,##0.00"/>
    <numFmt numFmtId="165" formatCode="0.0"/>
    <numFmt numFmtId="166" formatCode="0.000"/>
    <numFmt numFmtId="167" formatCode="0.000000"/>
  </numFmts>
  <fonts count="32" x14ac:knownFonts="1">
    <font>
      <sz val="11"/>
      <color theme="1"/>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sz val="9"/>
      <color theme="1"/>
      <name val="Calibri"/>
      <family val="2"/>
    </font>
    <font>
      <sz val="9"/>
      <color theme="1"/>
      <name val="Calibri"/>
      <family val="2"/>
      <scheme val="minor"/>
    </font>
    <font>
      <sz val="8"/>
      <color theme="1"/>
      <name val="Calibri"/>
      <family val="2"/>
      <scheme val="minor"/>
    </font>
    <font>
      <i/>
      <sz val="9"/>
      <color theme="1"/>
      <name val="Times New Roman"/>
      <family val="1"/>
    </font>
    <font>
      <sz val="10"/>
      <color theme="1"/>
      <name val="Symbol"/>
      <family val="1"/>
      <charset val="2"/>
    </font>
    <font>
      <sz val="10"/>
      <color theme="1"/>
      <name val="Times New Roman"/>
      <family val="1"/>
    </font>
    <font>
      <b/>
      <sz val="10"/>
      <name val="Arial"/>
      <family val="2"/>
    </font>
    <font>
      <b/>
      <sz val="10"/>
      <color indexed="12"/>
      <name val="Arial"/>
      <family val="2"/>
    </font>
    <font>
      <b/>
      <sz val="14"/>
      <name val="Arial"/>
      <family val="2"/>
    </font>
    <font>
      <i/>
      <sz val="10"/>
      <name val="Arial"/>
      <family val="2"/>
    </font>
    <font>
      <b/>
      <sz val="10"/>
      <color theme="1"/>
      <name val="Calibri"/>
      <family val="2"/>
      <scheme val="minor"/>
    </font>
    <font>
      <sz val="11"/>
      <name val="Arial"/>
      <family val="2"/>
    </font>
    <font>
      <b/>
      <sz val="14"/>
      <color rgb="FF0070C0"/>
      <name val="Arial"/>
      <family val="2"/>
    </font>
    <font>
      <b/>
      <sz val="10"/>
      <color theme="1"/>
      <name val="Calibri"/>
      <family val="2"/>
    </font>
    <font>
      <sz val="10"/>
      <color theme="1"/>
      <name val="Calibri"/>
      <family val="2"/>
    </font>
    <font>
      <sz val="8"/>
      <color theme="1"/>
      <name val="Calibri"/>
      <family val="2"/>
    </font>
    <font>
      <b/>
      <sz val="8"/>
      <color theme="1"/>
      <name val="Calibri"/>
      <family val="2"/>
      <scheme val="minor"/>
    </font>
    <font>
      <b/>
      <sz val="8"/>
      <color theme="1"/>
      <name val="Calibri"/>
      <family val="2"/>
    </font>
    <font>
      <b/>
      <sz val="11"/>
      <color theme="1"/>
      <name val="Calibri"/>
      <family val="2"/>
    </font>
    <font>
      <b/>
      <sz val="11"/>
      <name val="Calibri"/>
      <family val="2"/>
    </font>
    <font>
      <sz val="11"/>
      <name val="Calibri"/>
      <family val="2"/>
      <scheme val="minor"/>
    </font>
    <font>
      <sz val="11"/>
      <color theme="1"/>
      <name val="Calibri"/>
      <family val="2"/>
    </font>
    <font>
      <b/>
      <sz val="11"/>
      <name val="Calibri"/>
      <family val="2"/>
      <scheme val="minor"/>
    </font>
    <font>
      <b/>
      <sz val="9"/>
      <color theme="1"/>
      <name val="Calibri"/>
      <family val="2"/>
    </font>
    <font>
      <vertAlign val="superscript"/>
      <sz val="11"/>
      <color theme="1"/>
      <name val="Calibri"/>
      <family val="2"/>
      <scheme val="minor"/>
    </font>
    <font>
      <b/>
      <vertAlign val="superscript"/>
      <sz val="11"/>
      <color theme="1"/>
      <name val="Calibri"/>
      <family val="2"/>
      <scheme val="minor"/>
    </font>
    <font>
      <b/>
      <sz val="10"/>
      <name val="Calibri"/>
      <family val="2"/>
      <scheme val="minor"/>
    </font>
    <font>
      <sz val="11"/>
      <color rgb="FFFF0000"/>
      <name val="Calibri"/>
      <family val="2"/>
      <scheme val="minor"/>
    </font>
  </fonts>
  <fills count="28">
    <fill>
      <patternFill patternType="none"/>
    </fill>
    <fill>
      <patternFill patternType="gray125"/>
    </fill>
    <fill>
      <patternFill patternType="solid">
        <fgColor theme="7" tint="0.39997558519241921"/>
        <bgColor indexed="64"/>
      </patternFill>
    </fill>
    <fill>
      <patternFill patternType="solid">
        <fgColor rgb="FFFFC000"/>
        <bgColor indexed="64"/>
      </patternFill>
    </fill>
    <fill>
      <patternFill patternType="solid">
        <fgColor rgb="FFFFFF00"/>
        <bgColor indexed="64"/>
      </patternFill>
    </fill>
    <fill>
      <patternFill patternType="solid">
        <fgColor theme="9" tint="0.79998168889431442"/>
        <bgColor indexed="64"/>
      </patternFill>
    </fill>
    <fill>
      <patternFill patternType="solid">
        <fgColor indexed="51"/>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rgb="FFFF66FF"/>
        <bgColor indexed="64"/>
      </patternFill>
    </fill>
    <fill>
      <patternFill patternType="solid">
        <fgColor theme="8" tint="0.39997558519241921"/>
        <bgColor indexed="64"/>
      </patternFill>
    </fill>
    <fill>
      <patternFill patternType="solid">
        <fgColor theme="8" tint="-0.249977111117893"/>
        <bgColor indexed="64"/>
      </patternFill>
    </fill>
  </fills>
  <borders count="26">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s>
  <cellStyleXfs count="1">
    <xf numFmtId="0" fontId="0" fillId="0" borderId="0"/>
  </cellStyleXfs>
  <cellXfs count="497">
    <xf numFmtId="0" fontId="0" fillId="0" borderId="0" xfId="0"/>
    <xf numFmtId="0" fontId="0" fillId="0" borderId="0" xfId="0" applyAlignment="1">
      <alignment vertical="center" wrapText="1"/>
    </xf>
    <xf numFmtId="0" fontId="0" fillId="0" borderId="0" xfId="0" applyAlignment="1">
      <alignment wrapText="1"/>
    </xf>
    <xf numFmtId="0" fontId="2" fillId="0" borderId="0" xfId="0" applyFont="1"/>
    <xf numFmtId="0" fontId="0" fillId="0" borderId="0" xfId="0" applyAlignment="1">
      <alignment vertical="top" wrapText="1"/>
    </xf>
    <xf numFmtId="0" fontId="0" fillId="4" borderId="0" xfId="0" applyFill="1"/>
    <xf numFmtId="0" fontId="2" fillId="4" borderId="2" xfId="0" applyFont="1" applyFill="1" applyBorder="1" applyAlignment="1">
      <alignment horizontal="center" wrapText="1"/>
    </xf>
    <xf numFmtId="0" fontId="4" fillId="4" borderId="2" xfId="0" applyFont="1" applyFill="1" applyBorder="1" applyAlignment="1">
      <alignment horizontal="center" vertical="center" wrapText="1"/>
    </xf>
    <xf numFmtId="0" fontId="5" fillId="4" borderId="2" xfId="0" applyFont="1" applyFill="1" applyBorder="1" applyAlignment="1">
      <alignment horizontal="center" vertical="center" wrapText="1"/>
    </xf>
    <xf numFmtId="2" fontId="2" fillId="0" borderId="2" xfId="0" applyNumberFormat="1" applyFont="1" applyBorder="1" applyAlignment="1">
      <alignment horizontal="center"/>
    </xf>
    <xf numFmtId="165" fontId="2" fillId="0" borderId="2" xfId="0" applyNumberFormat="1" applyFont="1" applyBorder="1" applyAlignment="1">
      <alignment horizontal="center"/>
    </xf>
    <xf numFmtId="0" fontId="6" fillId="0" borderId="2" xfId="0" applyFont="1" applyBorder="1" applyAlignment="1">
      <alignment horizontal="center"/>
    </xf>
    <xf numFmtId="0" fontId="2" fillId="4" borderId="1" xfId="0" applyFont="1" applyFill="1" applyBorder="1" applyAlignment="1">
      <alignment horizontal="center"/>
    </xf>
    <xf numFmtId="0" fontId="2" fillId="0" borderId="1" xfId="0" applyFont="1" applyBorder="1" applyAlignment="1">
      <alignment horizontal="center"/>
    </xf>
    <xf numFmtId="0" fontId="0" fillId="0" borderId="2" xfId="0" applyBorder="1"/>
    <xf numFmtId="0" fontId="0" fillId="5" borderId="2" xfId="0" applyFill="1" applyBorder="1" applyAlignment="1">
      <alignment horizontal="center"/>
    </xf>
    <xf numFmtId="0" fontId="0" fillId="5" borderId="2" xfId="0" applyFill="1" applyBorder="1"/>
    <xf numFmtId="0" fontId="1" fillId="5" borderId="2" xfId="0" applyFont="1" applyFill="1" applyBorder="1"/>
    <xf numFmtId="0" fontId="10" fillId="0" borderId="0" xfId="0" applyFont="1"/>
    <xf numFmtId="0" fontId="11" fillId="0" borderId="0" xfId="0" applyFont="1" applyAlignment="1">
      <alignment horizontal="center"/>
    </xf>
    <xf numFmtId="0" fontId="13" fillId="0" borderId="0" xfId="0" applyFont="1"/>
    <xf numFmtId="0" fontId="0" fillId="0" borderId="8" xfId="0" applyBorder="1"/>
    <xf numFmtId="0" fontId="2" fillId="0" borderId="2" xfId="0" applyFont="1" applyBorder="1" applyAlignment="1">
      <alignment horizontal="left" wrapText="1"/>
    </xf>
    <xf numFmtId="0" fontId="0" fillId="0" borderId="0" xfId="0" applyAlignment="1">
      <alignment horizontal="center"/>
    </xf>
    <xf numFmtId="0" fontId="2" fillId="0" borderId="14" xfId="0" applyFont="1" applyBorder="1" applyAlignment="1">
      <alignment vertical="center" wrapText="1"/>
    </xf>
    <xf numFmtId="0" fontId="2" fillId="0" borderId="0" xfId="0" applyFont="1" applyAlignment="1">
      <alignment vertical="center" wrapText="1"/>
    </xf>
    <xf numFmtId="0" fontId="5" fillId="4" borderId="11" xfId="0" applyFont="1" applyFill="1" applyBorder="1" applyAlignment="1">
      <alignment horizontal="center" vertical="center" wrapText="1"/>
    </xf>
    <xf numFmtId="0" fontId="4" fillId="0" borderId="14" xfId="0" applyFont="1" applyBorder="1" applyAlignment="1">
      <alignment vertical="center" wrapText="1"/>
    </xf>
    <xf numFmtId="0" fontId="4" fillId="0" borderId="0" xfId="0" applyFont="1" applyAlignment="1">
      <alignment vertical="center" wrapText="1"/>
    </xf>
    <xf numFmtId="0" fontId="2" fillId="0" borderId="0" xfId="0" applyFont="1" applyAlignment="1">
      <alignment horizontal="center" wrapText="1"/>
    </xf>
    <xf numFmtId="0" fontId="5" fillId="0" borderId="0" xfId="0" applyFont="1" applyAlignment="1">
      <alignment horizontal="center" vertical="center" wrapText="1"/>
    </xf>
    <xf numFmtId="0" fontId="14" fillId="0" borderId="11" xfId="0" applyFont="1" applyBorder="1" applyAlignment="1">
      <alignment horizontal="center"/>
    </xf>
    <xf numFmtId="165" fontId="2" fillId="0" borderId="0" xfId="0" applyNumberFormat="1" applyFont="1" applyAlignment="1">
      <alignment horizontal="center"/>
    </xf>
    <xf numFmtId="0" fontId="14" fillId="0" borderId="11" xfId="0" applyFont="1" applyBorder="1" applyAlignment="1">
      <alignment horizontal="center" wrapText="1"/>
    </xf>
    <xf numFmtId="0" fontId="2" fillId="0" borderId="0" xfId="0" applyFont="1" applyAlignment="1">
      <alignment horizontal="left"/>
    </xf>
    <xf numFmtId="2" fontId="2" fillId="0" borderId="0" xfId="0" applyNumberFormat="1" applyFont="1" applyAlignment="1">
      <alignment horizontal="center"/>
    </xf>
    <xf numFmtId="165" fontId="2" fillId="0" borderId="0" xfId="0" applyNumberFormat="1" applyFont="1" applyAlignment="1">
      <alignment horizontal="center" wrapText="1"/>
    </xf>
    <xf numFmtId="0" fontId="0" fillId="5" borderId="2" xfId="0" applyFill="1" applyBorder="1" applyAlignment="1">
      <alignment horizontal="center" vertical="center"/>
    </xf>
    <xf numFmtId="1" fontId="12" fillId="0" borderId="0" xfId="0" applyNumberFormat="1" applyFont="1"/>
    <xf numFmtId="0" fontId="1" fillId="0" borderId="0" xfId="0" applyFont="1"/>
    <xf numFmtId="1" fontId="15" fillId="0" borderId="0" xfId="0" applyNumberFormat="1" applyFont="1"/>
    <xf numFmtId="0" fontId="2" fillId="4" borderId="0" xfId="0" applyFont="1" applyFill="1" applyAlignment="1">
      <alignment horizontal="center"/>
    </xf>
    <xf numFmtId="0" fontId="2" fillId="4" borderId="2" xfId="0" applyFont="1" applyFill="1" applyBorder="1" applyAlignment="1">
      <alignment horizontal="center"/>
    </xf>
    <xf numFmtId="0" fontId="2" fillId="0" borderId="3" xfId="0" applyFont="1" applyBorder="1" applyAlignment="1">
      <alignment horizontal="center"/>
    </xf>
    <xf numFmtId="0" fontId="2" fillId="4" borderId="14" xfId="0" applyFont="1" applyFill="1" applyBorder="1" applyAlignment="1">
      <alignment horizontal="center" vertical="center" wrapText="1"/>
    </xf>
    <xf numFmtId="0" fontId="2" fillId="4" borderId="11" xfId="0" applyFont="1" applyFill="1" applyBorder="1" applyAlignment="1">
      <alignment horizontal="center" wrapText="1"/>
    </xf>
    <xf numFmtId="0" fontId="14" fillId="0" borderId="2" xfId="0" applyFont="1" applyBorder="1" applyAlignment="1">
      <alignment horizontal="center"/>
    </xf>
    <xf numFmtId="2" fontId="14" fillId="0" borderId="2" xfId="0" applyNumberFormat="1" applyFont="1" applyBorder="1" applyAlignment="1">
      <alignment horizontal="center"/>
    </xf>
    <xf numFmtId="165" fontId="14" fillId="0" borderId="2" xfId="0" applyNumberFormat="1" applyFont="1" applyBorder="1" applyAlignment="1">
      <alignment horizontal="center"/>
    </xf>
    <xf numFmtId="165" fontId="2" fillId="0" borderId="11" xfId="0" applyNumberFormat="1" applyFont="1" applyBorder="1" applyAlignment="1">
      <alignment horizontal="center"/>
    </xf>
    <xf numFmtId="0" fontId="4" fillId="4" borderId="11" xfId="0" applyFont="1" applyFill="1" applyBorder="1" applyAlignment="1">
      <alignment horizontal="center" vertical="center" wrapText="1"/>
    </xf>
    <xf numFmtId="0" fontId="2" fillId="0" borderId="2" xfId="0" applyFont="1" applyBorder="1" applyAlignment="1">
      <alignment horizontal="center"/>
    </xf>
    <xf numFmtId="0" fontId="0" fillId="0" borderId="8" xfId="0" applyBorder="1" applyAlignment="1">
      <alignment horizontal="left" vertical="center"/>
    </xf>
    <xf numFmtId="0" fontId="2" fillId="0" borderId="2" xfId="0" applyFont="1" applyBorder="1" applyAlignment="1">
      <alignment horizontal="center" wrapText="1"/>
    </xf>
    <xf numFmtId="0" fontId="4" fillId="0" borderId="11" xfId="0" applyFont="1" applyBorder="1" applyAlignment="1">
      <alignment horizontal="center" vertical="center" wrapText="1"/>
    </xf>
    <xf numFmtId="0" fontId="5" fillId="0" borderId="11" xfId="0" applyFont="1" applyBorder="1" applyAlignment="1">
      <alignment horizontal="center" vertical="center" wrapText="1"/>
    </xf>
    <xf numFmtId="0" fontId="2" fillId="0" borderId="11" xfId="0" applyFont="1" applyBorder="1" applyAlignment="1">
      <alignment horizontal="center"/>
    </xf>
    <xf numFmtId="0" fontId="17" fillId="0" borderId="11" xfId="0" applyFont="1" applyBorder="1" applyAlignment="1">
      <alignment horizontal="center"/>
    </xf>
    <xf numFmtId="0" fontId="2" fillId="0" borderId="11" xfId="0" applyFont="1" applyBorder="1" applyAlignment="1">
      <alignment horizontal="center" wrapText="1"/>
    </xf>
    <xf numFmtId="0" fontId="2" fillId="0" borderId="2" xfId="0" applyFont="1" applyBorder="1" applyAlignment="1">
      <alignment horizontal="left"/>
    </xf>
    <xf numFmtId="0" fontId="0" fillId="0" borderId="0" xfId="0" applyAlignment="1">
      <alignment horizontal="left" wrapText="1"/>
    </xf>
    <xf numFmtId="0" fontId="3" fillId="0" borderId="0" xfId="0" applyFont="1" applyAlignment="1">
      <alignment horizontal="left" vertical="center" wrapText="1"/>
    </xf>
    <xf numFmtId="0" fontId="0" fillId="0" borderId="0" xfId="0" applyAlignment="1">
      <alignment horizontal="center" wrapText="1"/>
    </xf>
    <xf numFmtId="0" fontId="6" fillId="4" borderId="2" xfId="0" applyFont="1" applyFill="1" applyBorder="1" applyAlignment="1">
      <alignment horizontal="center" vertical="center" wrapText="1"/>
    </xf>
    <xf numFmtId="0" fontId="19" fillId="17" borderId="2" xfId="0" applyFont="1" applyFill="1" applyBorder="1" applyAlignment="1">
      <alignment horizontal="center" vertical="center" wrapText="1"/>
    </xf>
    <xf numFmtId="0" fontId="6" fillId="17" borderId="2" xfId="0" applyFont="1" applyFill="1" applyBorder="1" applyAlignment="1">
      <alignment horizontal="center" vertical="center" wrapText="1"/>
    </xf>
    <xf numFmtId="0" fontId="6" fillId="9" borderId="2" xfId="0" applyFont="1" applyFill="1" applyBorder="1" applyAlignment="1">
      <alignment horizontal="center"/>
    </xf>
    <xf numFmtId="0" fontId="6" fillId="9" borderId="1" xfId="0" applyFont="1" applyFill="1" applyBorder="1" applyAlignment="1">
      <alignment horizontal="center"/>
    </xf>
    <xf numFmtId="0" fontId="6" fillId="9" borderId="2" xfId="0" applyFont="1" applyFill="1" applyBorder="1" applyAlignment="1">
      <alignment horizontal="center" wrapText="1"/>
    </xf>
    <xf numFmtId="0" fontId="6" fillId="3" borderId="2" xfId="0" applyFont="1" applyFill="1" applyBorder="1" applyAlignment="1">
      <alignment horizontal="center" vertical="center" wrapText="1"/>
    </xf>
    <xf numFmtId="0" fontId="21" fillId="21" borderId="2" xfId="0" applyFont="1" applyFill="1" applyBorder="1" applyAlignment="1">
      <alignment horizontal="center" vertical="center" wrapText="1"/>
    </xf>
    <xf numFmtId="0" fontId="20" fillId="21" borderId="2" xfId="0" applyFont="1" applyFill="1" applyBorder="1" applyAlignment="1">
      <alignment horizontal="center" vertical="center" wrapText="1"/>
    </xf>
    <xf numFmtId="0" fontId="14" fillId="0" borderId="1" xfId="0" applyFont="1" applyBorder="1" applyAlignment="1">
      <alignment horizontal="center"/>
    </xf>
    <xf numFmtId="0" fontId="1" fillId="0" borderId="8" xfId="0" applyFont="1" applyBorder="1" applyAlignment="1">
      <alignment horizontal="left"/>
    </xf>
    <xf numFmtId="0" fontId="6" fillId="0" borderId="0" xfId="0" applyFont="1" applyAlignment="1">
      <alignment horizontal="center"/>
    </xf>
    <xf numFmtId="0" fontId="2" fillId="0" borderId="0" xfId="0" applyFont="1" applyAlignment="1">
      <alignment horizontal="center"/>
    </xf>
    <xf numFmtId="0" fontId="1" fillId="8" borderId="2" xfId="0" applyFont="1" applyFill="1" applyBorder="1"/>
    <xf numFmtId="0" fontId="0" fillId="8" borderId="2" xfId="0" applyFill="1" applyBorder="1" applyAlignment="1">
      <alignment horizontal="center"/>
    </xf>
    <xf numFmtId="0" fontId="0" fillId="9" borderId="2" xfId="0" applyFill="1" applyBorder="1" applyAlignment="1">
      <alignment horizontal="center"/>
    </xf>
    <xf numFmtId="0" fontId="22" fillId="9" borderId="2" xfId="0" applyFont="1" applyFill="1" applyBorder="1"/>
    <xf numFmtId="0" fontId="2" fillId="3" borderId="2" xfId="0" applyFont="1" applyFill="1" applyBorder="1" applyAlignment="1">
      <alignment horizontal="center"/>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2" fillId="19" borderId="2" xfId="0" applyFont="1" applyFill="1" applyBorder="1"/>
    <xf numFmtId="0" fontId="0" fillId="19" borderId="2" xfId="0" applyFill="1" applyBorder="1" applyAlignment="1">
      <alignment horizontal="center"/>
    </xf>
    <xf numFmtId="0" fontId="23" fillId="5" borderId="2" xfId="0" applyFont="1" applyFill="1" applyBorder="1"/>
    <xf numFmtId="0" fontId="24" fillId="5" borderId="2" xfId="0" applyFont="1" applyFill="1" applyBorder="1" applyAlignment="1">
      <alignment horizontal="center"/>
    </xf>
    <xf numFmtId="0" fontId="23" fillId="5" borderId="2" xfId="0" applyFont="1" applyFill="1" applyBorder="1" applyAlignment="1">
      <alignment wrapText="1"/>
    </xf>
    <xf numFmtId="0" fontId="1" fillId="7" borderId="2" xfId="0" applyFont="1" applyFill="1" applyBorder="1"/>
    <xf numFmtId="0" fontId="0" fillId="7" borderId="2" xfId="0" applyFill="1" applyBorder="1" applyAlignment="1">
      <alignment horizontal="center"/>
    </xf>
    <xf numFmtId="0" fontId="12" fillId="24" borderId="0" xfId="0" applyFont="1" applyFill="1"/>
    <xf numFmtId="0" fontId="0" fillId="0" borderId="0" xfId="0" applyAlignment="1">
      <alignment horizontal="left"/>
    </xf>
    <xf numFmtId="0" fontId="0" fillId="0" borderId="0" xfId="0" applyAlignment="1">
      <alignment vertical="top"/>
    </xf>
    <xf numFmtId="0" fontId="16" fillId="0" borderId="0" xfId="0" applyFont="1" applyAlignment="1">
      <alignment horizontal="center"/>
    </xf>
    <xf numFmtId="0" fontId="6" fillId="9" borderId="2" xfId="0" applyFont="1" applyFill="1" applyBorder="1" applyAlignment="1">
      <alignment horizontal="left" wrapText="1"/>
    </xf>
    <xf numFmtId="0" fontId="25" fillId="0" borderId="2" xfId="0" applyFont="1" applyBorder="1" applyAlignment="1">
      <alignment horizontal="right"/>
    </xf>
    <xf numFmtId="0" fontId="0" fillId="0" borderId="2" xfId="0" applyBorder="1" applyAlignment="1">
      <alignment horizontal="right"/>
    </xf>
    <xf numFmtId="0" fontId="0" fillId="0" borderId="0" xfId="0" applyAlignment="1">
      <alignment horizontal="center" vertical="center"/>
    </xf>
    <xf numFmtId="0" fontId="4" fillId="12" borderId="2" xfId="0" applyFont="1" applyFill="1" applyBorder="1" applyAlignment="1">
      <alignment horizontal="center" vertical="center" wrapText="1"/>
    </xf>
    <xf numFmtId="0" fontId="2" fillId="12" borderId="2" xfId="0" applyFont="1" applyFill="1" applyBorder="1" applyAlignment="1">
      <alignment horizontal="center"/>
    </xf>
    <xf numFmtId="165" fontId="2" fillId="12" borderId="2" xfId="0" applyNumberFormat="1" applyFont="1" applyFill="1" applyBorder="1" applyAlignment="1">
      <alignment horizontal="center"/>
    </xf>
    <xf numFmtId="0" fontId="2" fillId="12" borderId="1" xfId="0" applyFont="1" applyFill="1" applyBorder="1" applyAlignment="1">
      <alignment horizontal="center" wrapText="1"/>
    </xf>
    <xf numFmtId="0" fontId="2" fillId="12" borderId="1" xfId="0" applyFont="1" applyFill="1" applyBorder="1" applyAlignment="1">
      <alignment horizontal="center"/>
    </xf>
    <xf numFmtId="0" fontId="2" fillId="12" borderId="2" xfId="0" applyFont="1" applyFill="1" applyBorder="1" applyAlignment="1">
      <alignment horizontal="center" wrapText="1"/>
    </xf>
    <xf numFmtId="0" fontId="5" fillId="23" borderId="2" xfId="0" applyFont="1" applyFill="1" applyBorder="1" applyAlignment="1">
      <alignment horizontal="center" vertical="center" wrapText="1"/>
    </xf>
    <xf numFmtId="0" fontId="2" fillId="23" borderId="2" xfId="0" applyFont="1" applyFill="1" applyBorder="1" applyAlignment="1">
      <alignment horizontal="center"/>
    </xf>
    <xf numFmtId="165" fontId="2" fillId="23" borderId="2" xfId="0" applyNumberFormat="1" applyFont="1" applyFill="1" applyBorder="1" applyAlignment="1">
      <alignment horizontal="center"/>
    </xf>
    <xf numFmtId="0" fontId="2" fillId="23" borderId="2" xfId="0" applyFont="1" applyFill="1" applyBorder="1" applyAlignment="1">
      <alignment horizontal="center" vertical="center"/>
    </xf>
    <xf numFmtId="0" fontId="2" fillId="23" borderId="1" xfId="0" applyFont="1" applyFill="1" applyBorder="1" applyAlignment="1">
      <alignment horizontal="center"/>
    </xf>
    <xf numFmtId="2" fontId="2" fillId="0" borderId="2" xfId="0" applyNumberFormat="1" applyFont="1" applyBorder="1" applyAlignment="1">
      <alignment horizontal="left" wrapText="1"/>
    </xf>
    <xf numFmtId="165" fontId="2" fillId="0" borderId="2" xfId="0" applyNumberFormat="1" applyFont="1" applyBorder="1" applyAlignment="1">
      <alignment horizontal="left" wrapText="1"/>
    </xf>
    <xf numFmtId="0" fontId="1" fillId="0" borderId="8" xfId="0" applyFont="1" applyBorder="1"/>
    <xf numFmtId="0" fontId="2" fillId="3" borderId="6" xfId="0" applyFont="1" applyFill="1" applyBorder="1" applyAlignment="1">
      <alignment horizontal="center"/>
    </xf>
    <xf numFmtId="167" fontId="0" fillId="0" borderId="0" xfId="0" applyNumberFormat="1"/>
    <xf numFmtId="0" fontId="21" fillId="15" borderId="2" xfId="0" applyFont="1" applyFill="1" applyBorder="1" applyAlignment="1">
      <alignment horizontal="center" vertical="center" wrapText="1"/>
    </xf>
    <xf numFmtId="0" fontId="20" fillId="15" borderId="2" xfId="0" applyFont="1" applyFill="1" applyBorder="1" applyAlignment="1">
      <alignment horizontal="center" vertical="center" wrapText="1"/>
    </xf>
    <xf numFmtId="0" fontId="2" fillId="0" borderId="7" xfId="0" applyFont="1" applyBorder="1" applyAlignment="1">
      <alignment vertical="center" wrapText="1"/>
    </xf>
    <xf numFmtId="0" fontId="2" fillId="0" borderId="8" xfId="0" applyFont="1" applyBorder="1" applyAlignment="1">
      <alignment vertical="center" wrapText="1"/>
    </xf>
    <xf numFmtId="0" fontId="2" fillId="0" borderId="9" xfId="0" applyFont="1" applyBorder="1" applyAlignment="1">
      <alignment vertical="center" wrapText="1"/>
    </xf>
    <xf numFmtId="0" fontId="3" fillId="0" borderId="0" xfId="0" applyFont="1" applyAlignment="1">
      <alignment vertical="center" wrapText="1"/>
    </xf>
    <xf numFmtId="0" fontId="2" fillId="4" borderId="2" xfId="0" applyFont="1" applyFill="1" applyBorder="1"/>
    <xf numFmtId="0" fontId="14" fillId="13" borderId="2" xfId="0" applyFont="1" applyFill="1" applyBorder="1" applyAlignment="1">
      <alignment horizontal="center"/>
    </xf>
    <xf numFmtId="165" fontId="14" fillId="13" borderId="2" xfId="0" applyNumberFormat="1" applyFont="1" applyFill="1" applyBorder="1" applyAlignment="1">
      <alignment horizontal="center"/>
    </xf>
    <xf numFmtId="0" fontId="2" fillId="13" borderId="11" xfId="0" applyFont="1" applyFill="1" applyBorder="1" applyAlignment="1">
      <alignment horizontal="center"/>
    </xf>
    <xf numFmtId="0" fontId="2" fillId="13" borderId="2" xfId="0" applyFont="1" applyFill="1" applyBorder="1" applyAlignment="1">
      <alignment horizontal="center"/>
    </xf>
    <xf numFmtId="0" fontId="2" fillId="0" borderId="0" xfId="0" applyFont="1" applyAlignment="1">
      <alignment horizontal="center" vertical="center"/>
    </xf>
    <xf numFmtId="0" fontId="14" fillId="0" borderId="0" xfId="0" applyFont="1" applyAlignment="1">
      <alignment horizontal="center"/>
    </xf>
    <xf numFmtId="0" fontId="2" fillId="0" borderId="14" xfId="0" applyFont="1" applyBorder="1" applyAlignment="1">
      <alignment horizontal="left" vertical="center" wrapText="1"/>
    </xf>
    <xf numFmtId="0" fontId="2" fillId="0" borderId="0" xfId="0" applyFont="1" applyAlignment="1">
      <alignment horizontal="left" vertical="center" wrapText="1"/>
    </xf>
    <xf numFmtId="0" fontId="2" fillId="0" borderId="15" xfId="0" applyFont="1" applyBorder="1" applyAlignment="1">
      <alignment horizontal="left" vertical="center" wrapText="1"/>
    </xf>
    <xf numFmtId="0" fontId="0" fillId="0" borderId="2" xfId="0" applyBorder="1" applyAlignment="1">
      <alignment horizontal="center"/>
    </xf>
    <xf numFmtId="0" fontId="6" fillId="9" borderId="1" xfId="0" applyFont="1" applyFill="1" applyBorder="1" applyAlignment="1">
      <alignment horizontal="center" vertical="center"/>
    </xf>
    <xf numFmtId="0" fontId="6" fillId="9" borderId="6" xfId="0" applyFont="1" applyFill="1" applyBorder="1" applyAlignment="1">
      <alignment horizontal="center" vertical="center"/>
    </xf>
    <xf numFmtId="0" fontId="6" fillId="9" borderId="10" xfId="0"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left"/>
    </xf>
    <xf numFmtId="0" fontId="2" fillId="4" borderId="2" xfId="0" applyFont="1" applyFill="1" applyBorder="1" applyAlignment="1">
      <alignment horizontal="center" vertical="center" wrapText="1"/>
    </xf>
    <xf numFmtId="0" fontId="2" fillId="4" borderId="10" xfId="0" applyFont="1" applyFill="1" applyBorder="1" applyAlignment="1">
      <alignment horizontal="center" vertical="center" wrapText="1"/>
    </xf>
    <xf numFmtId="0" fontId="2" fillId="0" borderId="0" xfId="0" applyFont="1" applyAlignment="1">
      <alignment horizontal="center" vertical="center" wrapText="1"/>
    </xf>
    <xf numFmtId="0" fontId="4" fillId="0" borderId="14" xfId="0" applyFont="1" applyBorder="1" applyAlignment="1">
      <alignment horizontal="center" vertical="center" wrapText="1"/>
    </xf>
    <xf numFmtId="0" fontId="4" fillId="0" borderId="0" xfId="0" applyFont="1" applyAlignment="1">
      <alignment horizontal="center" vertical="center" wrapText="1"/>
    </xf>
    <xf numFmtId="0" fontId="2" fillId="4" borderId="3" xfId="0" applyFont="1" applyFill="1" applyBorder="1" applyAlignment="1">
      <alignment horizontal="center" vertical="center" wrapText="1"/>
    </xf>
    <xf numFmtId="0" fontId="2" fillId="2" borderId="0" xfId="0" applyFont="1" applyFill="1" applyAlignment="1">
      <alignment horizontal="center" vertical="center"/>
    </xf>
    <xf numFmtId="0" fontId="3" fillId="0" borderId="0" xfId="0" applyFont="1" applyAlignment="1">
      <alignment horizontal="left" vertical="top" wrapText="1"/>
    </xf>
    <xf numFmtId="10" fontId="2" fillId="0" borderId="11" xfId="0" applyNumberFormat="1" applyFont="1" applyBorder="1" applyAlignment="1">
      <alignment horizontal="center"/>
    </xf>
    <xf numFmtId="0" fontId="0" fillId="0" borderId="2" xfId="0" applyBorder="1" applyAlignment="1">
      <alignment horizontal="left" vertical="top" wrapText="1"/>
    </xf>
    <xf numFmtId="0" fontId="0" fillId="0" borderId="2" xfId="0" applyBorder="1" applyAlignment="1">
      <alignment horizontal="center" vertical="center" wrapText="1"/>
    </xf>
    <xf numFmtId="0" fontId="0" fillId="0" borderId="11" xfId="0" applyBorder="1" applyAlignment="1">
      <alignment horizontal="center"/>
    </xf>
    <xf numFmtId="0" fontId="0" fillId="0" borderId="11" xfId="0" applyBorder="1" applyAlignment="1">
      <alignment horizontal="left"/>
    </xf>
    <xf numFmtId="0" fontId="0" fillId="0" borderId="2" xfId="0" applyBorder="1" applyAlignment="1">
      <alignment horizontal="left" vertical="center" wrapText="1"/>
    </xf>
    <xf numFmtId="0" fontId="0" fillId="4" borderId="2" xfId="0" applyFill="1" applyBorder="1" applyAlignment="1">
      <alignment horizontal="center"/>
    </xf>
    <xf numFmtId="166" fontId="2" fillId="0" borderId="2" xfId="0" applyNumberFormat="1" applyFont="1" applyBorder="1" applyAlignment="1">
      <alignment horizontal="center"/>
    </xf>
    <xf numFmtId="0" fontId="2" fillId="4" borderId="2" xfId="0" applyFont="1" applyFill="1" applyBorder="1" applyAlignment="1">
      <alignment horizontal="left"/>
    </xf>
    <xf numFmtId="0" fontId="0" fillId="0" borderId="2" xfId="0" applyBorder="1" applyAlignment="1">
      <alignment wrapText="1"/>
    </xf>
    <xf numFmtId="0" fontId="0" fillId="0" borderId="11" xfId="0" applyBorder="1" applyAlignment="1">
      <alignment horizontal="left" vertical="center"/>
    </xf>
    <xf numFmtId="0" fontId="1" fillId="0" borderId="2" xfId="0" applyFont="1" applyBorder="1" applyAlignment="1">
      <alignment horizontal="center"/>
    </xf>
    <xf numFmtId="0" fontId="0" fillId="0" borderId="2" xfId="0" applyBorder="1" applyAlignment="1">
      <alignment vertical="center" wrapText="1"/>
    </xf>
    <xf numFmtId="0" fontId="5" fillId="0" borderId="2" xfId="0" applyFont="1" applyBorder="1" applyAlignment="1">
      <alignment horizontal="center"/>
    </xf>
    <xf numFmtId="0" fontId="0" fillId="0" borderId="2" xfId="0" applyBorder="1" applyAlignment="1">
      <alignment vertical="center"/>
    </xf>
    <xf numFmtId="0" fontId="0" fillId="0" borderId="2" xfId="0" applyBorder="1" applyAlignment="1">
      <alignment vertical="top" wrapText="1"/>
    </xf>
    <xf numFmtId="0" fontId="5" fillId="0" borderId="2" xfId="0" applyFont="1" applyBorder="1" applyAlignment="1">
      <alignment horizontal="left" vertical="top" wrapText="1"/>
    </xf>
    <xf numFmtId="0" fontId="0" fillId="4" borderId="2" xfId="0" applyFill="1" applyBorder="1"/>
    <xf numFmtId="0" fontId="0" fillId="4" borderId="2" xfId="0" applyFill="1" applyBorder="1" applyAlignment="1">
      <alignment wrapText="1"/>
    </xf>
    <xf numFmtId="0" fontId="0" fillId="14" borderId="2" xfId="0" applyFill="1" applyBorder="1" applyAlignment="1">
      <alignment horizontal="center"/>
    </xf>
    <xf numFmtId="0" fontId="0" fillId="4" borderId="2" xfId="0" applyFill="1" applyBorder="1" applyAlignment="1">
      <alignment horizontal="left"/>
    </xf>
    <xf numFmtId="0" fontId="30" fillId="0" borderId="2" xfId="0" applyFont="1" applyBorder="1" applyAlignment="1">
      <alignment horizontal="center"/>
    </xf>
    <xf numFmtId="0" fontId="14" fillId="0" borderId="2" xfId="0" applyFont="1" applyBorder="1" applyAlignment="1">
      <alignment horizontal="center" wrapText="1"/>
    </xf>
    <xf numFmtId="0" fontId="6" fillId="14" borderId="6" xfId="0" applyFont="1" applyFill="1" applyBorder="1" applyAlignment="1">
      <alignment horizontal="center" vertical="center" wrapText="1"/>
    </xf>
    <xf numFmtId="0" fontId="6" fillId="0" borderId="0" xfId="0" applyFont="1" applyAlignment="1">
      <alignment horizontal="left"/>
    </xf>
    <xf numFmtId="0" fontId="2" fillId="7" borderId="0" xfId="0" applyFont="1" applyFill="1" applyAlignment="1">
      <alignment horizontal="center" vertical="center" wrapText="1"/>
    </xf>
    <xf numFmtId="0" fontId="1" fillId="0" borderId="0" xfId="0" applyFont="1" applyAlignment="1">
      <alignment horizontal="left"/>
    </xf>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4" borderId="22" xfId="0" applyFill="1" applyBorder="1"/>
    <xf numFmtId="164" fontId="0" fillId="4" borderId="16" xfId="0" applyNumberFormat="1" applyFill="1" applyBorder="1"/>
    <xf numFmtId="165" fontId="14" fillId="13" borderId="11" xfId="0" applyNumberFormat="1" applyFont="1" applyFill="1" applyBorder="1" applyAlignment="1">
      <alignment horizontal="center"/>
    </xf>
    <xf numFmtId="0" fontId="14" fillId="13" borderId="11" xfId="0" applyFont="1" applyFill="1" applyBorder="1" applyAlignment="1">
      <alignment horizontal="center"/>
    </xf>
    <xf numFmtId="0" fontId="0" fillId="4" borderId="0" xfId="0" applyFill="1" applyAlignment="1">
      <alignment horizontal="center" vertical="center"/>
    </xf>
    <xf numFmtId="0" fontId="0" fillId="0" borderId="0" xfId="0" applyAlignment="1">
      <alignment horizontal="center" vertical="center" wrapText="1"/>
    </xf>
    <xf numFmtId="0" fontId="0" fillId="0" borderId="0" xfId="0" applyAlignment="1">
      <alignment horizontal="left" vertical="top" wrapText="1"/>
    </xf>
    <xf numFmtId="0" fontId="3" fillId="26" borderId="2" xfId="0" applyFont="1" applyFill="1" applyBorder="1" applyAlignment="1">
      <alignment horizontal="left" vertical="center"/>
    </xf>
    <xf numFmtId="0" fontId="3" fillId="26" borderId="2" xfId="0" applyFont="1" applyFill="1" applyBorder="1" applyAlignment="1">
      <alignment horizontal="center" vertical="center"/>
    </xf>
    <xf numFmtId="0" fontId="3" fillId="26" borderId="2" xfId="0" applyFont="1" applyFill="1" applyBorder="1" applyAlignment="1">
      <alignment horizontal="left" vertical="top" wrapText="1"/>
    </xf>
    <xf numFmtId="0" fontId="3" fillId="26" borderId="0" xfId="0" applyFont="1" applyFill="1"/>
    <xf numFmtId="0" fontId="0" fillId="27" borderId="0" xfId="0" applyFill="1"/>
    <xf numFmtId="0" fontId="0" fillId="0" borderId="4" xfId="0" applyBorder="1" applyAlignment="1">
      <alignment horizontal="left"/>
    </xf>
    <xf numFmtId="0" fontId="0" fillId="0" borderId="4" xfId="0" applyBorder="1" applyAlignment="1">
      <alignment horizontal="center"/>
    </xf>
    <xf numFmtId="0" fontId="0" fillId="27" borderId="0" xfId="0" applyFill="1" applyAlignment="1">
      <alignment horizontal="left"/>
    </xf>
    <xf numFmtId="0" fontId="1" fillId="26" borderId="0" xfId="0" applyFont="1" applyFill="1" applyAlignment="1">
      <alignment horizontal="left"/>
    </xf>
    <xf numFmtId="0" fontId="0" fillId="0" borderId="2" xfId="0" applyBorder="1" applyAlignment="1">
      <alignment horizontal="left" vertical="center" wrapText="1"/>
    </xf>
    <xf numFmtId="0" fontId="0" fillId="0" borderId="2" xfId="0" applyBorder="1" applyAlignment="1">
      <alignment horizontal="left" vertical="center"/>
    </xf>
    <xf numFmtId="0" fontId="0" fillId="0" borderId="2" xfId="0" applyBorder="1" applyAlignment="1">
      <alignment horizontal="left" wrapText="1"/>
    </xf>
    <xf numFmtId="0" fontId="0" fillId="0" borderId="2" xfId="0" applyBorder="1" applyAlignment="1">
      <alignment horizontal="left"/>
    </xf>
    <xf numFmtId="0" fontId="0" fillId="0" borderId="2" xfId="0" applyBorder="1" applyAlignment="1">
      <alignment horizontal="left" vertical="top" wrapText="1"/>
    </xf>
    <xf numFmtId="0" fontId="0" fillId="0" borderId="2" xfId="0" applyBorder="1" applyAlignment="1">
      <alignment horizontal="center" vertical="center" wrapText="1"/>
    </xf>
    <xf numFmtId="0" fontId="26" fillId="25" borderId="2" xfId="0" applyFont="1" applyFill="1" applyBorder="1" applyAlignment="1">
      <alignment horizontal="left"/>
    </xf>
    <xf numFmtId="0" fontId="1" fillId="4" borderId="2" xfId="0" applyFont="1" applyFill="1" applyBorder="1" applyAlignment="1">
      <alignment horizontal="left"/>
    </xf>
    <xf numFmtId="0" fontId="1" fillId="16" borderId="2" xfId="0" applyFont="1" applyFill="1" applyBorder="1" applyAlignment="1">
      <alignment horizontal="left"/>
    </xf>
    <xf numFmtId="0" fontId="0" fillId="19" borderId="2" xfId="0" applyFill="1" applyBorder="1" applyAlignment="1">
      <alignment wrapText="1"/>
    </xf>
    <xf numFmtId="0" fontId="0" fillId="19" borderId="2" xfId="0" applyFill="1" applyBorder="1" applyAlignment="1">
      <alignment horizontal="center" vertical="center" wrapText="1"/>
    </xf>
    <xf numFmtId="0" fontId="0" fillId="18" borderId="2" xfId="0" applyFill="1" applyBorder="1" applyAlignment="1">
      <alignment horizontal="center" vertical="center"/>
    </xf>
    <xf numFmtId="0" fontId="0" fillId="20" borderId="2" xfId="0" applyFill="1" applyBorder="1" applyAlignment="1">
      <alignment horizontal="left"/>
    </xf>
    <xf numFmtId="0" fontId="0" fillId="20" borderId="2" xfId="0" applyFill="1" applyBorder="1" applyAlignment="1">
      <alignment horizontal="center" vertical="center" wrapText="1"/>
    </xf>
    <xf numFmtId="0" fontId="20" fillId="15" borderId="3" xfId="0" applyFont="1" applyFill="1" applyBorder="1" applyAlignment="1">
      <alignment horizontal="center" vertical="center" wrapText="1"/>
    </xf>
    <xf numFmtId="0" fontId="20" fillId="15" borderId="4" xfId="0" applyFont="1" applyFill="1" applyBorder="1" applyAlignment="1">
      <alignment horizontal="center" vertical="center" wrapText="1"/>
    </xf>
    <xf numFmtId="0" fontId="20" fillId="15" borderId="5" xfId="0" applyFont="1" applyFill="1" applyBorder="1" applyAlignment="1">
      <alignment horizontal="center" vertical="center" wrapText="1"/>
    </xf>
    <xf numFmtId="0" fontId="20" fillId="15" borderId="7" xfId="0" applyFont="1" applyFill="1" applyBorder="1" applyAlignment="1">
      <alignment horizontal="center" vertical="center" wrapText="1"/>
    </xf>
    <xf numFmtId="0" fontId="20" fillId="15" borderId="8" xfId="0" applyFont="1" applyFill="1" applyBorder="1" applyAlignment="1">
      <alignment horizontal="center" vertical="center" wrapText="1"/>
    </xf>
    <xf numFmtId="0" fontId="20" fillId="15" borderId="9" xfId="0" applyFont="1" applyFill="1" applyBorder="1" applyAlignment="1">
      <alignment horizontal="center" vertical="center" wrapText="1"/>
    </xf>
    <xf numFmtId="0" fontId="6" fillId="4" borderId="2" xfId="0" applyFont="1" applyFill="1" applyBorder="1" applyAlignment="1">
      <alignment horizontal="center" vertical="center"/>
    </xf>
    <xf numFmtId="0" fontId="20" fillId="4" borderId="1" xfId="0" applyFont="1" applyFill="1" applyBorder="1" applyAlignment="1">
      <alignment horizontal="center" vertical="center" wrapText="1"/>
    </xf>
    <xf numFmtId="0" fontId="20" fillId="4" borderId="10" xfId="0" applyFont="1" applyFill="1" applyBorder="1" applyAlignment="1">
      <alignment horizontal="center"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0" borderId="14" xfId="0" applyFont="1" applyBorder="1" applyAlignment="1">
      <alignment horizontal="left" vertical="center" wrapText="1"/>
    </xf>
    <xf numFmtId="0" fontId="2" fillId="0" borderId="0" xfId="0" applyFont="1" applyAlignment="1">
      <alignment horizontal="left" vertical="center" wrapText="1"/>
    </xf>
    <xf numFmtId="0" fontId="2" fillId="0" borderId="15"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1" fillId="15" borderId="0" xfId="0" applyFont="1" applyFill="1" applyAlignment="1">
      <alignment horizontal="left"/>
    </xf>
    <xf numFmtId="0" fontId="0" fillId="23" borderId="2" xfId="0" applyFill="1" applyBorder="1" applyAlignment="1">
      <alignment horizontal="center" vertical="center"/>
    </xf>
    <xf numFmtId="0" fontId="0" fillId="18" borderId="2" xfId="0" applyFill="1" applyBorder="1" applyAlignment="1">
      <alignment horizontal="left"/>
    </xf>
    <xf numFmtId="0" fontId="2" fillId="3" borderId="1"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5" fillId="15" borderId="1" xfId="0" applyFont="1" applyFill="1" applyBorder="1" applyAlignment="1">
      <alignment horizontal="center" vertical="center" wrapText="1"/>
    </xf>
    <xf numFmtId="0" fontId="5" fillId="15" borderId="6" xfId="0" applyFont="1" applyFill="1" applyBorder="1" applyAlignment="1">
      <alignment horizontal="center" vertical="center" wrapText="1"/>
    </xf>
    <xf numFmtId="0" fontId="5" fillId="15" borderId="10" xfId="0" applyFont="1" applyFill="1" applyBorder="1" applyAlignment="1">
      <alignment horizontal="center" vertical="center" wrapText="1"/>
    </xf>
    <xf numFmtId="0" fontId="5" fillId="18" borderId="1" xfId="0" applyFont="1" applyFill="1" applyBorder="1" applyAlignment="1">
      <alignment horizontal="center" vertical="center"/>
    </xf>
    <xf numFmtId="0" fontId="5" fillId="18" borderId="6" xfId="0" applyFont="1" applyFill="1" applyBorder="1" applyAlignment="1">
      <alignment horizontal="center" vertical="center"/>
    </xf>
    <xf numFmtId="0" fontId="5" fillId="18" borderId="10" xfId="0" applyFont="1" applyFill="1" applyBorder="1" applyAlignment="1">
      <alignment horizontal="center" vertical="center"/>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2" fillId="0" borderId="13" xfId="0" applyFont="1" applyBorder="1" applyAlignment="1">
      <alignment horizontal="left" vertical="center" wrapText="1"/>
    </xf>
    <xf numFmtId="166" fontId="12" fillId="6" borderId="0" xfId="0" applyNumberFormat="1" applyFont="1" applyFill="1" applyAlignment="1">
      <alignment horizontal="center"/>
    </xf>
    <xf numFmtId="0" fontId="1" fillId="0" borderId="0" xfId="0" applyFont="1" applyAlignment="1">
      <alignment horizontal="right"/>
    </xf>
    <xf numFmtId="0" fontId="0" fillId="0" borderId="0" xfId="0" applyAlignment="1">
      <alignment horizontal="right"/>
    </xf>
    <xf numFmtId="1" fontId="12" fillId="24" borderId="0" xfId="0" applyNumberFormat="1" applyFont="1" applyFill="1" applyAlignment="1">
      <alignment horizontal="center"/>
    </xf>
    <xf numFmtId="0" fontId="6" fillId="3" borderId="11"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11" xfId="0" applyFont="1" applyFill="1" applyBorder="1" applyAlignment="1">
      <alignment horizontal="center" wrapText="1"/>
    </xf>
    <xf numFmtId="0" fontId="6" fillId="3" borderId="13" xfId="0" applyFont="1" applyFill="1" applyBorder="1" applyAlignment="1">
      <alignment horizontal="center" wrapText="1"/>
    </xf>
    <xf numFmtId="0" fontId="0" fillId="8" borderId="11" xfId="0" applyFill="1" applyBorder="1" applyAlignment="1">
      <alignment horizontal="center"/>
    </xf>
    <xf numFmtId="0" fontId="0" fillId="8" borderId="13" xfId="0" applyFill="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1" xfId="0" applyBorder="1" applyAlignment="1">
      <alignment horizontal="left"/>
    </xf>
    <xf numFmtId="0" fontId="0" fillId="0" borderId="12" xfId="0" applyBorder="1" applyAlignment="1">
      <alignment horizontal="left"/>
    </xf>
    <xf numFmtId="0" fontId="0" fillId="0" borderId="13" xfId="0" applyBorder="1" applyAlignment="1">
      <alignment horizontal="left"/>
    </xf>
    <xf numFmtId="0" fontId="0" fillId="0" borderId="2" xfId="0" applyBorder="1" applyAlignment="1">
      <alignment horizontal="center" vertical="center"/>
    </xf>
    <xf numFmtId="0" fontId="0" fillId="0" borderId="11" xfId="0" quotePrefix="1" applyBorder="1" applyAlignment="1">
      <alignment horizontal="center" wrapText="1"/>
    </xf>
    <xf numFmtId="0" fontId="2" fillId="0" borderId="11" xfId="0" applyFont="1" applyBorder="1" applyAlignment="1">
      <alignment horizontal="left"/>
    </xf>
    <xf numFmtId="0" fontId="2" fillId="0" borderId="12" xfId="0" applyFont="1" applyBorder="1" applyAlignment="1">
      <alignment horizontal="left"/>
    </xf>
    <xf numFmtId="0" fontId="2" fillId="0" borderId="13" xfId="0" applyFont="1" applyBorder="1" applyAlignment="1">
      <alignment horizontal="left"/>
    </xf>
    <xf numFmtId="0" fontId="1" fillId="2" borderId="10" xfId="0" applyFont="1" applyFill="1" applyBorder="1" applyAlignment="1">
      <alignment horizontal="left"/>
    </xf>
    <xf numFmtId="0" fontId="1" fillId="10" borderId="2" xfId="0" applyFont="1" applyFill="1" applyBorder="1" applyAlignment="1">
      <alignment horizontal="left"/>
    </xf>
    <xf numFmtId="0" fontId="0" fillId="0" borderId="2" xfId="0" applyBorder="1" applyAlignment="1">
      <alignment horizontal="center"/>
    </xf>
    <xf numFmtId="0" fontId="1" fillId="19" borderId="2" xfId="0" applyFont="1" applyFill="1" applyBorder="1" applyAlignment="1">
      <alignment horizontal="left"/>
    </xf>
    <xf numFmtId="0" fontId="0" fillId="0" borderId="8" xfId="0" applyBorder="1" applyAlignment="1">
      <alignment horizontal="center"/>
    </xf>
    <xf numFmtId="0" fontId="0" fillId="9" borderId="11" xfId="0" applyFill="1" applyBorder="1" applyAlignment="1">
      <alignment horizontal="center"/>
    </xf>
    <xf numFmtId="0" fontId="0" fillId="9" borderId="13" xfId="0" applyFill="1" applyBorder="1" applyAlignment="1">
      <alignment horizontal="center"/>
    </xf>
    <xf numFmtId="0" fontId="24" fillId="5" borderId="11" xfId="0" applyFont="1" applyFill="1" applyBorder="1" applyAlignment="1">
      <alignment horizontal="center"/>
    </xf>
    <xf numFmtId="0" fontId="24" fillId="5" borderId="13" xfId="0" applyFont="1" applyFill="1" applyBorder="1" applyAlignment="1">
      <alignment horizontal="center"/>
    </xf>
    <xf numFmtId="0" fontId="24" fillId="7" borderId="11" xfId="0" applyFont="1" applyFill="1" applyBorder="1" applyAlignment="1">
      <alignment horizontal="center"/>
    </xf>
    <xf numFmtId="0" fontId="24" fillId="7" borderId="13" xfId="0" applyFont="1" applyFill="1" applyBorder="1" applyAlignment="1">
      <alignment horizontal="center"/>
    </xf>
    <xf numFmtId="0" fontId="0" fillId="19" borderId="11" xfId="0" applyFill="1" applyBorder="1" applyAlignment="1">
      <alignment horizontal="center"/>
    </xf>
    <xf numFmtId="0" fontId="0" fillId="19" borderId="13" xfId="0" applyFill="1" applyBorder="1" applyAlignment="1">
      <alignment horizontal="center"/>
    </xf>
    <xf numFmtId="0" fontId="20" fillId="0" borderId="1" xfId="0" applyFont="1" applyBorder="1" applyAlignment="1">
      <alignment horizontal="center" vertical="center" wrapText="1"/>
    </xf>
    <xf numFmtId="0" fontId="20" fillId="0" borderId="10" xfId="0" applyFont="1" applyBorder="1" applyAlignment="1">
      <alignment horizontal="center" vertical="center" wrapText="1"/>
    </xf>
    <xf numFmtId="0" fontId="5" fillId="22" borderId="1" xfId="0" applyFont="1" applyFill="1" applyBorder="1" applyAlignment="1">
      <alignment horizontal="center" vertical="center"/>
    </xf>
    <xf numFmtId="0" fontId="5" fillId="22" borderId="6" xfId="0" applyFont="1" applyFill="1" applyBorder="1" applyAlignment="1">
      <alignment horizontal="center" vertical="center"/>
    </xf>
    <xf numFmtId="0" fontId="5" fillId="22" borderId="10" xfId="0" applyFont="1" applyFill="1" applyBorder="1" applyAlignment="1">
      <alignment horizontal="center" vertical="center"/>
    </xf>
    <xf numFmtId="0" fontId="0" fillId="0" borderId="8" xfId="0" applyBorder="1" applyAlignment="1">
      <alignment horizontal="left" vertical="center"/>
    </xf>
    <xf numFmtId="0" fontId="0" fillId="0" borderId="8" xfId="0" applyBorder="1" applyAlignment="1">
      <alignment horizontal="left" wrapText="1"/>
    </xf>
    <xf numFmtId="0" fontId="2" fillId="11" borderId="4" xfId="0" applyFont="1" applyFill="1" applyBorder="1" applyAlignment="1">
      <alignment horizontal="center" vertical="center" wrapText="1"/>
    </xf>
    <xf numFmtId="0" fontId="2" fillId="11" borderId="0" xfId="0" applyFont="1" applyFill="1" applyAlignment="1">
      <alignment horizontal="center" vertical="center" wrapText="1"/>
    </xf>
    <xf numFmtId="0" fontId="2" fillId="11" borderId="1" xfId="0" applyFont="1" applyFill="1" applyBorder="1" applyAlignment="1">
      <alignment horizontal="center" vertical="center" wrapText="1"/>
    </xf>
    <xf numFmtId="0" fontId="2" fillId="11" borderId="6" xfId="0" applyFont="1" applyFill="1" applyBorder="1" applyAlignment="1">
      <alignment horizontal="center" vertical="center" wrapText="1"/>
    </xf>
    <xf numFmtId="0" fontId="2" fillId="11" borderId="10" xfId="0" applyFont="1" applyFill="1" applyBorder="1" applyAlignment="1">
      <alignment horizontal="center" vertical="center" wrapText="1"/>
    </xf>
    <xf numFmtId="0" fontId="6" fillId="4" borderId="11" xfId="0" applyFont="1" applyFill="1" applyBorder="1" applyAlignment="1">
      <alignment horizontal="center" vertical="center"/>
    </xf>
    <xf numFmtId="0" fontId="6" fillId="4" borderId="12" xfId="0" applyFont="1" applyFill="1" applyBorder="1" applyAlignment="1">
      <alignment horizontal="center" vertical="center"/>
    </xf>
    <xf numFmtId="0" fontId="6" fillId="4" borderId="13" xfId="0" applyFont="1" applyFill="1" applyBorder="1" applyAlignment="1">
      <alignment horizontal="center" vertical="center"/>
    </xf>
    <xf numFmtId="0" fontId="6" fillId="13" borderId="1" xfId="0" applyFont="1" applyFill="1" applyBorder="1" applyAlignment="1">
      <alignment horizontal="center" vertical="center" wrapText="1"/>
    </xf>
    <xf numFmtId="0" fontId="6" fillId="13" borderId="6" xfId="0" applyFont="1" applyFill="1" applyBorder="1" applyAlignment="1">
      <alignment horizontal="center" vertical="center" wrapText="1"/>
    </xf>
    <xf numFmtId="0" fontId="6" fillId="13" borderId="10"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9" borderId="6" xfId="0" applyFont="1" applyFill="1" applyBorder="1" applyAlignment="1">
      <alignment horizontal="center" vertical="center" wrapText="1"/>
    </xf>
    <xf numFmtId="0" fontId="6" fillId="9" borderId="10" xfId="0" applyFont="1" applyFill="1" applyBorder="1" applyAlignment="1">
      <alignment horizontal="center" vertical="center" wrapText="1"/>
    </xf>
    <xf numFmtId="0" fontId="6" fillId="9" borderId="1" xfId="0" applyFont="1" applyFill="1" applyBorder="1" applyAlignment="1">
      <alignment horizontal="center" vertical="center"/>
    </xf>
    <xf numFmtId="0" fontId="6" fillId="9" borderId="6" xfId="0" applyFont="1" applyFill="1" applyBorder="1" applyAlignment="1">
      <alignment horizontal="center" vertical="center"/>
    </xf>
    <xf numFmtId="0" fontId="6" fillId="9" borderId="10" xfId="0" applyFont="1" applyFill="1" applyBorder="1" applyAlignment="1">
      <alignment horizontal="center" vertical="center"/>
    </xf>
    <xf numFmtId="0" fontId="6" fillId="17" borderId="3" xfId="0" applyFont="1" applyFill="1" applyBorder="1" applyAlignment="1">
      <alignment horizontal="center" vertical="center" wrapText="1"/>
    </xf>
    <xf numFmtId="0" fontId="6" fillId="17" borderId="4" xfId="0" applyFont="1" applyFill="1" applyBorder="1" applyAlignment="1">
      <alignment horizontal="center" vertical="center" wrapText="1"/>
    </xf>
    <xf numFmtId="0" fontId="6" fillId="17" borderId="7"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20" fillId="21" borderId="3" xfId="0" applyFont="1" applyFill="1" applyBorder="1" applyAlignment="1">
      <alignment horizontal="center" vertical="center" wrapText="1"/>
    </xf>
    <xf numFmtId="0" fontId="20" fillId="21" borderId="4" xfId="0" applyFont="1" applyFill="1" applyBorder="1" applyAlignment="1">
      <alignment horizontal="center" vertical="center" wrapText="1"/>
    </xf>
    <xf numFmtId="0" fontId="20" fillId="21" borderId="5" xfId="0" applyFont="1" applyFill="1" applyBorder="1" applyAlignment="1">
      <alignment horizontal="center" vertical="center" wrapText="1"/>
    </xf>
    <xf numFmtId="0" fontId="20" fillId="21" borderId="7" xfId="0" applyFont="1" applyFill="1" applyBorder="1" applyAlignment="1">
      <alignment horizontal="center" vertical="center" wrapText="1"/>
    </xf>
    <xf numFmtId="0" fontId="20" fillId="21" borderId="8" xfId="0" applyFont="1" applyFill="1" applyBorder="1" applyAlignment="1">
      <alignment horizontal="center" vertical="center" wrapText="1"/>
    </xf>
    <xf numFmtId="0" fontId="20" fillId="21" borderId="9" xfId="0" applyFont="1" applyFill="1" applyBorder="1" applyAlignment="1">
      <alignment horizontal="center" vertical="center" wrapText="1"/>
    </xf>
    <xf numFmtId="0" fontId="1" fillId="19" borderId="11" xfId="0" applyFont="1" applyFill="1" applyBorder="1" applyAlignment="1">
      <alignment horizontal="left"/>
    </xf>
    <xf numFmtId="0" fontId="1" fillId="19" borderId="12" xfId="0" applyFont="1" applyFill="1" applyBorder="1" applyAlignment="1">
      <alignment horizontal="left"/>
    </xf>
    <xf numFmtId="0" fontId="1" fillId="19" borderId="13" xfId="0" applyFont="1" applyFill="1" applyBorder="1" applyAlignment="1">
      <alignment horizontal="left"/>
    </xf>
    <xf numFmtId="0" fontId="0" fillId="0" borderId="0" xfId="0" applyAlignment="1">
      <alignment horizontal="center" vertical="center"/>
    </xf>
    <xf numFmtId="0" fontId="0" fillId="0" borderId="15" xfId="0" applyBorder="1" applyAlignment="1">
      <alignment horizontal="center" vertical="center"/>
    </xf>
    <xf numFmtId="0" fontId="0" fillId="0" borderId="1" xfId="0" applyBorder="1" applyAlignment="1">
      <alignment horizontal="left"/>
    </xf>
    <xf numFmtId="0" fontId="2" fillId="19" borderId="3" xfId="0" applyFont="1" applyFill="1" applyBorder="1" applyAlignment="1">
      <alignment horizontal="center" vertical="center" wrapText="1"/>
    </xf>
    <xf numFmtId="0" fontId="2" fillId="19" borderId="5" xfId="0" applyFont="1" applyFill="1" applyBorder="1" applyAlignment="1">
      <alignment horizontal="center" vertical="center" wrapText="1"/>
    </xf>
    <xf numFmtId="0" fontId="2" fillId="19" borderId="14" xfId="0" applyFont="1" applyFill="1" applyBorder="1" applyAlignment="1">
      <alignment horizontal="center" vertical="center" wrapText="1"/>
    </xf>
    <xf numFmtId="0" fontId="2" fillId="19" borderId="15" xfId="0" applyFont="1" applyFill="1" applyBorder="1" applyAlignment="1">
      <alignment horizontal="center" vertical="center" wrapText="1"/>
    </xf>
    <xf numFmtId="0" fontId="2" fillId="19" borderId="7" xfId="0" applyFont="1" applyFill="1" applyBorder="1" applyAlignment="1">
      <alignment horizontal="center" vertical="center" wrapText="1"/>
    </xf>
    <xf numFmtId="0" fontId="2" fillId="19" borderId="9"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2" fillId="15" borderId="10" xfId="0"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10" xfId="0" applyFont="1" applyBorder="1" applyAlignment="1">
      <alignment horizontal="left" vertical="center" wrapText="1"/>
    </xf>
    <xf numFmtId="0" fontId="0" fillId="0" borderId="0" xfId="0" applyAlignment="1">
      <alignment horizontal="left"/>
    </xf>
    <xf numFmtId="0" fontId="6" fillId="22" borderId="1" xfId="0" applyFont="1" applyFill="1" applyBorder="1" applyAlignment="1">
      <alignment horizontal="center"/>
    </xf>
    <xf numFmtId="0" fontId="6" fillId="22" borderId="6" xfId="0" applyFont="1" applyFill="1" applyBorder="1" applyAlignment="1">
      <alignment horizontal="center"/>
    </xf>
    <xf numFmtId="0" fontId="6" fillId="22" borderId="10" xfId="0" applyFont="1" applyFill="1" applyBorder="1" applyAlignment="1">
      <alignment horizontal="center"/>
    </xf>
    <xf numFmtId="0" fontId="6" fillId="18" borderId="1" xfId="0" applyFont="1" applyFill="1" applyBorder="1" applyAlignment="1">
      <alignment horizontal="center" vertical="center"/>
    </xf>
    <xf numFmtId="0" fontId="6" fillId="18" borderId="6" xfId="0" applyFont="1" applyFill="1" applyBorder="1" applyAlignment="1">
      <alignment horizontal="center" vertical="center"/>
    </xf>
    <xf numFmtId="0" fontId="6" fillId="18" borderId="10" xfId="0" applyFont="1" applyFill="1" applyBorder="1" applyAlignment="1">
      <alignment horizontal="center" vertical="center"/>
    </xf>
    <xf numFmtId="0" fontId="6" fillId="14" borderId="1" xfId="0" applyFont="1" applyFill="1" applyBorder="1" applyAlignment="1">
      <alignment horizontal="center" vertical="center" wrapText="1"/>
    </xf>
    <xf numFmtId="0" fontId="6" fillId="14" borderId="6" xfId="0" applyFont="1" applyFill="1" applyBorder="1" applyAlignment="1">
      <alignment horizontal="center" vertical="center" wrapText="1"/>
    </xf>
    <xf numFmtId="0" fontId="6" fillId="14" borderId="10"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7" borderId="6" xfId="0" applyFont="1" applyFill="1" applyBorder="1" applyAlignment="1">
      <alignment horizontal="center" vertical="center" wrapText="1"/>
    </xf>
    <xf numFmtId="0" fontId="2" fillId="7" borderId="10" xfId="0" applyFont="1" applyFill="1" applyBorder="1" applyAlignment="1">
      <alignment horizontal="center"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5" fillId="0" borderId="2" xfId="0" applyFont="1" applyBorder="1" applyAlignment="1">
      <alignment horizontal="center"/>
    </xf>
    <xf numFmtId="0" fontId="0" fillId="4" borderId="2" xfId="0" applyFill="1" applyBorder="1" applyAlignment="1">
      <alignment horizontal="center" vertical="center"/>
    </xf>
    <xf numFmtId="0" fontId="1" fillId="24" borderId="11" xfId="0" applyFont="1" applyFill="1" applyBorder="1" applyAlignment="1">
      <alignment horizontal="left"/>
    </xf>
    <xf numFmtId="0" fontId="1" fillId="24" borderId="12" xfId="0" applyFont="1" applyFill="1" applyBorder="1" applyAlignment="1">
      <alignment horizontal="left"/>
    </xf>
    <xf numFmtId="0" fontId="1" fillId="24" borderId="13" xfId="0" applyFont="1" applyFill="1" applyBorder="1" applyAlignment="1">
      <alignment horizontal="left"/>
    </xf>
    <xf numFmtId="0" fontId="0" fillId="4" borderId="2" xfId="0" applyFill="1" applyBorder="1" applyAlignment="1">
      <alignment horizontal="center"/>
    </xf>
    <xf numFmtId="0" fontId="3" fillId="0" borderId="2" xfId="0" applyFont="1" applyBorder="1" applyAlignment="1">
      <alignment horizontal="left" vertical="center" wrapText="1"/>
    </xf>
    <xf numFmtId="0" fontId="2" fillId="2" borderId="2" xfId="0" applyFont="1" applyFill="1" applyBorder="1" applyAlignment="1">
      <alignment horizontal="center" vertical="center"/>
    </xf>
    <xf numFmtId="0" fontId="2" fillId="3" borderId="2" xfId="0" applyFont="1" applyFill="1" applyBorder="1" applyAlignment="1">
      <alignment horizontal="center" vertical="center"/>
    </xf>
    <xf numFmtId="0" fontId="7" fillId="0" borderId="0" xfId="0" applyFont="1" applyAlignment="1">
      <alignment horizontal="left"/>
    </xf>
    <xf numFmtId="0" fontId="8" fillId="0" borderId="0" xfId="0" applyFont="1" applyAlignment="1">
      <alignment horizontal="left"/>
    </xf>
    <xf numFmtId="0" fontId="0" fillId="0" borderId="0" xfId="0" applyAlignment="1">
      <alignment horizontal="left" vertical="top" wrapText="1"/>
    </xf>
    <xf numFmtId="0" fontId="2" fillId="23" borderId="11" xfId="0" applyFont="1" applyFill="1" applyBorder="1" applyAlignment="1">
      <alignment horizontal="center"/>
    </xf>
    <xf numFmtId="0" fontId="2" fillId="23" borderId="13" xfId="0" applyFont="1" applyFill="1" applyBorder="1" applyAlignment="1">
      <alignment horizontal="center"/>
    </xf>
    <xf numFmtId="2" fontId="14" fillId="13" borderId="11" xfId="0" applyNumberFormat="1" applyFont="1" applyFill="1" applyBorder="1" applyAlignment="1">
      <alignment horizontal="center"/>
    </xf>
    <xf numFmtId="2" fontId="14" fillId="13" borderId="13" xfId="0" applyNumberFormat="1" applyFont="1" applyFill="1" applyBorder="1" applyAlignment="1">
      <alignment horizontal="center"/>
    </xf>
    <xf numFmtId="0" fontId="2" fillId="0" borderId="11" xfId="0" applyFont="1" applyBorder="1" applyAlignment="1">
      <alignment horizontal="center"/>
    </xf>
    <xf numFmtId="0" fontId="2" fillId="0" borderId="13" xfId="0" applyFont="1" applyBorder="1" applyAlignment="1">
      <alignment horizontal="center"/>
    </xf>
    <xf numFmtId="0" fontId="2" fillId="23" borderId="11" xfId="0" applyFont="1" applyFill="1" applyBorder="1" applyAlignment="1">
      <alignment horizontal="center" wrapText="1"/>
    </xf>
    <xf numFmtId="0" fontId="2" fillId="23" borderId="13" xfId="0" applyFont="1" applyFill="1" applyBorder="1" applyAlignment="1">
      <alignment horizontal="center" wrapText="1"/>
    </xf>
    <xf numFmtId="2" fontId="14" fillId="13" borderId="11" xfId="0" applyNumberFormat="1" applyFont="1" applyFill="1" applyBorder="1" applyAlignment="1">
      <alignment horizontal="center" wrapText="1"/>
    </xf>
    <xf numFmtId="2" fontId="14" fillId="13" borderId="13" xfId="0" applyNumberFormat="1" applyFont="1" applyFill="1" applyBorder="1" applyAlignment="1">
      <alignment horizontal="center" wrapText="1"/>
    </xf>
    <xf numFmtId="1" fontId="14" fillId="13" borderId="11" xfId="0" applyNumberFormat="1" applyFont="1" applyFill="1" applyBorder="1" applyAlignment="1">
      <alignment horizontal="center"/>
    </xf>
    <xf numFmtId="1" fontId="14" fillId="13" borderId="13" xfId="0" applyNumberFormat="1" applyFont="1" applyFill="1" applyBorder="1" applyAlignment="1">
      <alignment horizontal="center"/>
    </xf>
    <xf numFmtId="0" fontId="2" fillId="23" borderId="11" xfId="0" applyFont="1" applyFill="1" applyBorder="1" applyAlignment="1">
      <alignment horizontal="center" vertical="center" wrapText="1"/>
    </xf>
    <xf numFmtId="0" fontId="2" fillId="23" borderId="13" xfId="0" applyFont="1" applyFill="1" applyBorder="1" applyAlignment="1">
      <alignment horizontal="center" vertical="center" wrapText="1"/>
    </xf>
    <xf numFmtId="0" fontId="2" fillId="0" borderId="11" xfId="0" applyFont="1" applyBorder="1" applyAlignment="1">
      <alignment horizontal="left" wrapText="1"/>
    </xf>
    <xf numFmtId="0" fontId="2" fillId="0" borderId="13" xfId="0" applyFont="1" applyBorder="1" applyAlignment="1">
      <alignment horizontal="left" wrapText="1"/>
    </xf>
    <xf numFmtId="165" fontId="2" fillId="23" borderId="11" xfId="0" applyNumberFormat="1" applyFont="1" applyFill="1" applyBorder="1" applyAlignment="1">
      <alignment horizontal="center"/>
    </xf>
    <xf numFmtId="165" fontId="2" fillId="23" borderId="13" xfId="0" applyNumberFormat="1" applyFont="1" applyFill="1" applyBorder="1" applyAlignment="1">
      <alignment horizontal="center"/>
    </xf>
    <xf numFmtId="165" fontId="14" fillId="13" borderId="11" xfId="0" applyNumberFormat="1" applyFont="1" applyFill="1" applyBorder="1" applyAlignment="1">
      <alignment horizontal="center"/>
    </xf>
    <xf numFmtId="165" fontId="14" fillId="13" borderId="13" xfId="0" applyNumberFormat="1" applyFont="1" applyFill="1" applyBorder="1" applyAlignment="1">
      <alignment horizontal="center"/>
    </xf>
    <xf numFmtId="0" fontId="14" fillId="13" borderId="11" xfId="0" applyFont="1" applyFill="1" applyBorder="1" applyAlignment="1">
      <alignment horizontal="center"/>
    </xf>
    <xf numFmtId="0" fontId="14" fillId="13" borderId="13" xfId="0" applyFont="1" applyFill="1" applyBorder="1" applyAlignment="1">
      <alignment horizontal="center"/>
    </xf>
    <xf numFmtId="0" fontId="2" fillId="19" borderId="1" xfId="0" applyFont="1" applyFill="1" applyBorder="1" applyAlignment="1">
      <alignment horizontal="center" vertical="center" wrapText="1"/>
    </xf>
    <xf numFmtId="0" fontId="2" fillId="19" borderId="6" xfId="0" applyFont="1" applyFill="1" applyBorder="1" applyAlignment="1">
      <alignment horizontal="center" vertical="center" wrapText="1"/>
    </xf>
    <xf numFmtId="0" fontId="2" fillId="19" borderId="10" xfId="0" applyFont="1" applyFill="1" applyBorder="1" applyAlignment="1">
      <alignment horizontal="center" vertical="center" wrapText="1"/>
    </xf>
    <xf numFmtId="0" fontId="2" fillId="19" borderId="1" xfId="0" applyFont="1" applyFill="1" applyBorder="1" applyAlignment="1">
      <alignment horizontal="center" vertical="center"/>
    </xf>
    <xf numFmtId="0" fontId="2" fillId="19" borderId="6" xfId="0" applyFont="1" applyFill="1" applyBorder="1" applyAlignment="1">
      <alignment horizontal="center" vertical="center"/>
    </xf>
    <xf numFmtId="0" fontId="2" fillId="19" borderId="10" xfId="0" applyFont="1" applyFill="1" applyBorder="1" applyAlignment="1">
      <alignment horizontal="center" vertical="center"/>
    </xf>
    <xf numFmtId="0" fontId="4" fillId="23" borderId="11" xfId="0" applyFont="1" applyFill="1" applyBorder="1" applyAlignment="1">
      <alignment horizontal="center" vertical="center" wrapText="1"/>
    </xf>
    <xf numFmtId="0" fontId="4" fillId="23" borderId="13" xfId="0" applyFont="1" applyFill="1" applyBorder="1" applyAlignment="1">
      <alignment horizontal="center" vertical="center" wrapText="1"/>
    </xf>
    <xf numFmtId="0" fontId="27" fillId="13" borderId="11" xfId="0" applyFont="1" applyFill="1" applyBorder="1" applyAlignment="1">
      <alignment horizontal="center" vertical="center" wrapText="1"/>
    </xf>
    <xf numFmtId="0" fontId="27" fillId="13" borderId="13" xfId="0" applyFont="1" applyFill="1" applyBorder="1" applyAlignment="1">
      <alignment horizontal="center" vertical="center" wrapText="1"/>
    </xf>
    <xf numFmtId="0" fontId="2" fillId="4" borderId="1" xfId="0" applyFont="1" applyFill="1" applyBorder="1" applyAlignment="1">
      <alignment horizontal="center" vertical="center"/>
    </xf>
    <xf numFmtId="0" fontId="2" fillId="4" borderId="6"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2" xfId="0" applyFont="1" applyFill="1" applyBorder="1" applyAlignment="1">
      <alignment horizontal="center" vertical="center" wrapText="1"/>
    </xf>
    <xf numFmtId="0" fontId="2" fillId="12" borderId="3" xfId="0" applyFont="1" applyFill="1" applyBorder="1" applyAlignment="1">
      <alignment horizontal="center" vertical="center" wrapText="1"/>
    </xf>
    <xf numFmtId="0" fontId="2" fillId="12" borderId="7" xfId="0" applyFont="1" applyFill="1" applyBorder="1" applyAlignment="1">
      <alignment horizontal="center" vertical="center" wrapText="1"/>
    </xf>
    <xf numFmtId="0" fontId="2" fillId="23" borderId="3" xfId="0" applyFont="1" applyFill="1" applyBorder="1" applyAlignment="1">
      <alignment horizontal="center" vertical="center" wrapText="1"/>
    </xf>
    <xf numFmtId="0" fontId="2" fillId="23" borderId="4" xfId="0" applyFont="1" applyFill="1" applyBorder="1" applyAlignment="1">
      <alignment horizontal="center" vertical="center" wrapText="1"/>
    </xf>
    <xf numFmtId="0" fontId="2" fillId="23" borderId="5" xfId="0" applyFont="1" applyFill="1" applyBorder="1" applyAlignment="1">
      <alignment horizontal="center" vertical="center" wrapText="1"/>
    </xf>
    <xf numFmtId="0" fontId="2" fillId="23" borderId="7" xfId="0" applyFont="1" applyFill="1" applyBorder="1" applyAlignment="1">
      <alignment horizontal="center" vertical="center" wrapText="1"/>
    </xf>
    <xf numFmtId="0" fontId="2" fillId="23" borderId="8" xfId="0" applyFont="1" applyFill="1" applyBorder="1" applyAlignment="1">
      <alignment horizontal="center" vertical="center" wrapText="1"/>
    </xf>
    <xf numFmtId="0" fontId="2" fillId="23" borderId="9" xfId="0" applyFont="1" applyFill="1" applyBorder="1" applyAlignment="1">
      <alignment horizontal="center" vertical="center" wrapText="1"/>
    </xf>
    <xf numFmtId="0" fontId="14" fillId="13" borderId="3" xfId="0" applyFont="1" applyFill="1" applyBorder="1" applyAlignment="1">
      <alignment horizontal="center" vertical="center" wrapText="1"/>
    </xf>
    <xf numFmtId="0" fontId="14" fillId="13" borderId="4" xfId="0" applyFont="1" applyFill="1" applyBorder="1" applyAlignment="1">
      <alignment horizontal="center" vertical="center" wrapText="1"/>
    </xf>
    <xf numFmtId="0" fontId="14" fillId="13" borderId="5" xfId="0" applyFont="1" applyFill="1" applyBorder="1" applyAlignment="1">
      <alignment horizontal="center" vertical="center" wrapText="1"/>
    </xf>
    <xf numFmtId="0" fontId="14" fillId="13" borderId="7" xfId="0" applyFont="1" applyFill="1" applyBorder="1" applyAlignment="1">
      <alignment horizontal="center" vertical="center" wrapText="1"/>
    </xf>
    <xf numFmtId="0" fontId="14" fillId="13" borderId="8" xfId="0" applyFont="1" applyFill="1" applyBorder="1" applyAlignment="1">
      <alignment horizontal="center" vertical="center" wrapText="1"/>
    </xf>
    <xf numFmtId="0" fontId="14" fillId="13" borderId="9" xfId="0" applyFont="1" applyFill="1" applyBorder="1" applyAlignment="1">
      <alignment horizontal="center" vertical="center" wrapText="1"/>
    </xf>
    <xf numFmtId="0" fontId="0" fillId="0" borderId="0" xfId="0" applyAlignment="1">
      <alignment horizontal="left" vertical="center" wrapText="1"/>
    </xf>
    <xf numFmtId="0" fontId="3" fillId="0" borderId="0" xfId="0" applyFont="1" applyAlignment="1">
      <alignment horizontal="left" vertical="center" wrapText="1"/>
    </xf>
    <xf numFmtId="0" fontId="4" fillId="0" borderId="14" xfId="0" applyFont="1" applyBorder="1" applyAlignment="1">
      <alignment horizontal="center" vertical="center" wrapText="1"/>
    </xf>
    <xf numFmtId="0" fontId="4" fillId="0" borderId="0" xfId="0" applyFont="1" applyAlignment="1">
      <alignment horizontal="center" vertical="center" wrapText="1"/>
    </xf>
    <xf numFmtId="0" fontId="2" fillId="0" borderId="11" xfId="0" applyFont="1" applyBorder="1" applyAlignment="1">
      <alignment horizontal="center" wrapText="1"/>
    </xf>
    <xf numFmtId="0" fontId="2" fillId="0" borderId="13" xfId="0" applyFont="1" applyBorder="1" applyAlignment="1">
      <alignment horizontal="center" wrapText="1"/>
    </xf>
    <xf numFmtId="0" fontId="2" fillId="0" borderId="14" xfId="0" applyFont="1" applyBorder="1" applyAlignment="1">
      <alignment horizontal="center"/>
    </xf>
    <xf numFmtId="0" fontId="2" fillId="0" borderId="0" xfId="0" applyFont="1" applyAlignment="1">
      <alignment horizontal="center"/>
    </xf>
    <xf numFmtId="0" fontId="0" fillId="0" borderId="0" xfId="0" applyAlignment="1">
      <alignment horizontal="center"/>
    </xf>
    <xf numFmtId="0" fontId="0" fillId="0" borderId="8" xfId="0" applyBorder="1" applyAlignment="1">
      <alignment horizontal="center" wrapText="1"/>
    </xf>
    <xf numFmtId="0" fontId="0" fillId="0" borderId="0" xfId="0" applyAlignment="1">
      <alignment horizontal="left" vertical="center"/>
    </xf>
    <xf numFmtId="0" fontId="2" fillId="4" borderId="1" xfId="0" applyFont="1" applyFill="1" applyBorder="1" applyAlignment="1">
      <alignment horizontal="center" vertical="center" wrapText="1"/>
    </xf>
    <xf numFmtId="0" fontId="2" fillId="4" borderId="10" xfId="0"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0" fontId="2" fillId="3" borderId="0" xfId="0" applyFont="1" applyFill="1" applyAlignment="1">
      <alignment horizontal="center" vertical="center"/>
    </xf>
    <xf numFmtId="0" fontId="17" fillId="13" borderId="11" xfId="0" applyFont="1" applyFill="1" applyBorder="1" applyAlignment="1">
      <alignment horizontal="center"/>
    </xf>
    <xf numFmtId="0" fontId="17" fillId="13" borderId="12" xfId="0" applyFont="1" applyFill="1" applyBorder="1" applyAlignment="1">
      <alignment horizontal="center"/>
    </xf>
    <xf numFmtId="0" fontId="17" fillId="13" borderId="13" xfId="0" applyFont="1" applyFill="1" applyBorder="1" applyAlignment="1">
      <alignment horizontal="center"/>
    </xf>
    <xf numFmtId="0" fontId="2" fillId="2" borderId="0" xfId="0" applyFont="1" applyFill="1" applyAlignment="1">
      <alignment horizontal="center" vertical="center"/>
    </xf>
    <xf numFmtId="0" fontId="2" fillId="0" borderId="1" xfId="0" applyFont="1" applyBorder="1" applyAlignment="1">
      <alignment horizontal="center" vertical="center"/>
    </xf>
    <xf numFmtId="0" fontId="2" fillId="0" borderId="6" xfId="0" applyFont="1" applyBorder="1" applyAlignment="1">
      <alignment horizontal="center" vertical="center"/>
    </xf>
    <xf numFmtId="0" fontId="2" fillId="0" borderId="10" xfId="0" applyFont="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7" xfId="0" applyFont="1" applyBorder="1" applyAlignment="1">
      <alignment horizontal="center" vertical="center" wrapText="1"/>
    </xf>
    <xf numFmtId="0" fontId="3" fillId="0" borderId="0" xfId="0" applyFont="1" applyAlignment="1">
      <alignment horizontal="left" vertical="top"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4" borderId="9" xfId="0" applyFont="1" applyFill="1" applyBorder="1" applyAlignment="1">
      <alignment horizontal="center" vertical="center" wrapText="1"/>
    </xf>
    <xf numFmtId="0" fontId="1" fillId="14" borderId="2" xfId="0" applyFont="1" applyFill="1" applyBorder="1" applyAlignment="1">
      <alignment horizontal="center"/>
    </xf>
    <xf numFmtId="0" fontId="0" fillId="14" borderId="2" xfId="0" applyFill="1" applyBorder="1" applyAlignment="1">
      <alignment horizontal="center"/>
    </xf>
    <xf numFmtId="0" fontId="2" fillId="0" borderId="12" xfId="0" applyFont="1" applyBorder="1" applyAlignment="1">
      <alignment horizont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4" borderId="6" xfId="0" applyFont="1" applyFill="1" applyBorder="1" applyAlignment="1">
      <alignment horizontal="center" vertical="center" wrapText="1"/>
    </xf>
    <xf numFmtId="0" fontId="0" fillId="14" borderId="2" xfId="0" applyFill="1" applyBorder="1" applyAlignment="1">
      <alignment horizontal="center" vertical="center"/>
    </xf>
    <xf numFmtId="0" fontId="0" fillId="0" borderId="11" xfId="0" applyBorder="1" applyAlignment="1">
      <alignment horizontal="center" wrapText="1"/>
    </xf>
    <xf numFmtId="0" fontId="14" fillId="0" borderId="1" xfId="0" applyFont="1" applyBorder="1" applyAlignment="1">
      <alignment horizontal="center" vertical="center"/>
    </xf>
    <xf numFmtId="0" fontId="14" fillId="0" borderId="10" xfId="0" applyFont="1" applyBorder="1" applyAlignment="1">
      <alignment horizontal="center" vertical="center"/>
    </xf>
    <xf numFmtId="0" fontId="0" fillId="0" borderId="14" xfId="0" applyBorder="1" applyAlignment="1">
      <alignment horizontal="left"/>
    </xf>
    <xf numFmtId="0" fontId="0" fillId="0" borderId="15"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0" fillId="0" borderId="9" xfId="0"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0" borderId="10" xfId="0" applyBorder="1" applyAlignment="1">
      <alignment horizontal="center"/>
    </xf>
    <xf numFmtId="0" fontId="0" fillId="0" borderId="3" xfId="0" applyBorder="1" applyAlignment="1">
      <alignment horizontal="left" wrapText="1"/>
    </xf>
    <xf numFmtId="0" fontId="0" fillId="0" borderId="5" xfId="0" applyBorder="1" applyAlignment="1">
      <alignment horizontal="left" wrapText="1"/>
    </xf>
    <xf numFmtId="0" fontId="0" fillId="0" borderId="14" xfId="0" applyBorder="1" applyAlignment="1">
      <alignment horizontal="left" wrapText="1"/>
    </xf>
    <xf numFmtId="0" fontId="0" fillId="0" borderId="15" xfId="0" applyBorder="1" applyAlignment="1">
      <alignment horizontal="left" wrapText="1"/>
    </xf>
    <xf numFmtId="0" fontId="0" fillId="0" borderId="7" xfId="0" quotePrefix="1" applyBorder="1" applyAlignment="1">
      <alignment horizontal="left" wrapText="1"/>
    </xf>
    <xf numFmtId="0" fontId="0" fillId="0" borderId="9" xfId="0" quotePrefix="1" applyBorder="1" applyAlignment="1">
      <alignment horizontal="left" wrapText="1"/>
    </xf>
    <xf numFmtId="0" fontId="0" fillId="0" borderId="3" xfId="0"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14"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2" xfId="0" applyBorder="1" applyAlignment="1">
      <alignment horizontal="center" wrapText="1"/>
    </xf>
    <xf numFmtId="0" fontId="0" fillId="0" borderId="0" xfId="0" applyAlignment="1">
      <alignment horizontal="left" wrapText="1"/>
    </xf>
    <xf numFmtId="0" fontId="5" fillId="0" borderId="2" xfId="0" applyFont="1" applyBorder="1" applyAlignment="1">
      <alignment horizontal="left" vertical="top" wrapText="1"/>
    </xf>
    <xf numFmtId="0" fontId="5" fillId="0" borderId="2" xfId="0" applyFont="1" applyBorder="1" applyAlignment="1">
      <alignment horizontal="left" vertical="top"/>
    </xf>
    <xf numFmtId="0" fontId="0" fillId="0" borderId="1" xfId="0" applyBorder="1" applyAlignment="1">
      <alignment horizontal="left" vertical="center"/>
    </xf>
    <xf numFmtId="0" fontId="0" fillId="0" borderId="10" xfId="0" applyBorder="1" applyAlignment="1">
      <alignment horizontal="left" vertical="center"/>
    </xf>
    <xf numFmtId="0" fontId="5"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13" xfId="0" applyFont="1" applyBorder="1" applyAlignment="1">
      <alignment horizontal="left" vertical="top" wrapText="1"/>
    </xf>
    <xf numFmtId="0" fontId="2" fillId="0" borderId="11" xfId="0" applyFont="1" applyBorder="1" applyAlignment="1">
      <alignment horizontal="left" vertical="top"/>
    </xf>
    <xf numFmtId="0" fontId="2" fillId="0" borderId="12" xfId="0" applyFont="1" applyBorder="1" applyAlignment="1">
      <alignment horizontal="left" vertical="top"/>
    </xf>
    <xf numFmtId="0" fontId="2" fillId="0" borderId="13" xfId="0" applyFont="1" applyBorder="1" applyAlignment="1">
      <alignment horizontal="left" vertical="top"/>
    </xf>
    <xf numFmtId="0" fontId="0" fillId="0" borderId="6" xfId="0" applyBorder="1" applyAlignment="1">
      <alignment horizontal="left" vertical="center"/>
    </xf>
    <xf numFmtId="0" fontId="0" fillId="0" borderId="2" xfId="0" applyBorder="1" applyAlignment="1">
      <alignment horizontal="left" vertical="top"/>
    </xf>
    <xf numFmtId="0" fontId="0" fillId="26" borderId="2" xfId="0" applyFill="1" applyBorder="1" applyAlignment="1">
      <alignment horizontal="left" vertical="top" wrapText="1"/>
    </xf>
    <xf numFmtId="0" fontId="0" fillId="26" borderId="2" xfId="0" applyFill="1" applyBorder="1" applyAlignment="1">
      <alignment horizontal="left" vertical="top"/>
    </xf>
    <xf numFmtId="0" fontId="0" fillId="0" borderId="1" xfId="0" applyBorder="1" applyAlignment="1">
      <alignment horizontal="left" vertical="center" wrapText="1"/>
    </xf>
    <xf numFmtId="0" fontId="0" fillId="0" borderId="6" xfId="0" applyBorder="1" applyAlignment="1">
      <alignment horizontal="left" vertical="center" wrapText="1"/>
    </xf>
    <xf numFmtId="0" fontId="0" fillId="0" borderId="10" xfId="0" applyBorder="1" applyAlignment="1">
      <alignment horizontal="left" vertical="center" wrapText="1"/>
    </xf>
    <xf numFmtId="0" fontId="5" fillId="0" borderId="2" xfId="0" applyFont="1" applyBorder="1" applyAlignment="1">
      <alignment horizontal="left" vertical="center" wrapText="1"/>
    </xf>
    <xf numFmtId="0" fontId="5" fillId="0" borderId="2" xfId="0" applyFont="1" applyBorder="1" applyAlignment="1">
      <alignment horizontal="left" wrapText="1"/>
    </xf>
    <xf numFmtId="0" fontId="5" fillId="0" borderId="2" xfId="0" applyFont="1" applyBorder="1" applyAlignment="1">
      <alignment horizontal="left"/>
    </xf>
    <xf numFmtId="0" fontId="5" fillId="0" borderId="2" xfId="0" applyFont="1" applyBorder="1" applyAlignment="1">
      <alignment horizontal="left" vertical="center"/>
    </xf>
    <xf numFmtId="0" fontId="0" fillId="0" borderId="7" xfId="0" applyBorder="1" applyAlignment="1">
      <alignment horizontal="left" wrapText="1"/>
    </xf>
    <xf numFmtId="0" fontId="0" fillId="4" borderId="1" xfId="0" applyFill="1" applyBorder="1" applyAlignment="1">
      <alignment horizontal="left" vertical="center"/>
    </xf>
    <xf numFmtId="0" fontId="0" fillId="4" borderId="10" xfId="0" applyFill="1" applyBorder="1" applyAlignment="1">
      <alignment horizontal="left" vertical="center"/>
    </xf>
    <xf numFmtId="0" fontId="0" fillId="0" borderId="23" xfId="0" applyBorder="1" applyAlignment="1">
      <alignment horizontal="right"/>
    </xf>
    <xf numFmtId="0" fontId="0" fillId="0" borderId="24" xfId="0" applyBorder="1" applyAlignment="1">
      <alignment horizontal="right"/>
    </xf>
    <xf numFmtId="0" fontId="0" fillId="0" borderId="25" xfId="0" applyBorder="1" applyAlignment="1">
      <alignment horizontal="right"/>
    </xf>
  </cellXfs>
  <cellStyles count="1">
    <cellStyle name="Normal" xfId="0" builtinId="0"/>
  </cellStyles>
  <dxfs count="0"/>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129</xdr:row>
      <xdr:rowOff>0</xdr:rowOff>
    </xdr:from>
    <xdr:to>
      <xdr:col>9</xdr:col>
      <xdr:colOff>123825</xdr:colOff>
      <xdr:row>153</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5871150"/>
          <a:ext cx="10810875" cy="4562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Q917"/>
  <sheetViews>
    <sheetView tabSelected="1" topLeftCell="A70" zoomScaleNormal="100" workbookViewId="0">
      <selection activeCell="C78" sqref="C78:Q78"/>
    </sheetView>
  </sheetViews>
  <sheetFormatPr defaultColWidth="8.7265625" defaultRowHeight="14.5" x14ac:dyDescent="0.35"/>
  <cols>
    <col min="1" max="1" width="12.7265625" customWidth="1"/>
    <col min="2" max="2" width="7.81640625" customWidth="1"/>
    <col min="3" max="17" width="6.7265625" customWidth="1"/>
    <col min="18" max="18" width="2" customWidth="1"/>
    <col min="19" max="19" width="14.81640625" customWidth="1"/>
    <col min="20" max="20" width="6" customWidth="1"/>
    <col min="21" max="21" width="9.26953125" bestFit="1" customWidth="1"/>
    <col min="22" max="22" width="6.26953125" customWidth="1"/>
    <col min="23" max="23" width="7.26953125" customWidth="1"/>
    <col min="24" max="24" width="6.54296875" customWidth="1"/>
    <col min="25" max="25" width="6.7265625" customWidth="1"/>
    <col min="26" max="26" width="5.54296875" customWidth="1"/>
    <col min="27" max="27" width="7.453125" customWidth="1"/>
    <col min="28" max="28" width="7.1796875" customWidth="1"/>
    <col min="29" max="29" width="8" customWidth="1"/>
    <col min="30" max="30" width="5.81640625" customWidth="1"/>
    <col min="32" max="32" width="12" customWidth="1"/>
    <col min="33" max="33" width="11" customWidth="1"/>
    <col min="34" max="34" width="10.7265625" customWidth="1"/>
    <col min="35" max="35" width="11.26953125" customWidth="1"/>
    <col min="36" max="36" width="15.81640625" customWidth="1"/>
    <col min="42" max="42" width="7.1796875" customWidth="1"/>
    <col min="43" max="43" width="8.1796875" customWidth="1"/>
  </cols>
  <sheetData>
    <row r="1" spans="1:31" x14ac:dyDescent="0.35">
      <c r="A1" t="s">
        <v>0</v>
      </c>
      <c r="C1" s="323" t="s">
        <v>1</v>
      </c>
      <c r="D1" s="323"/>
      <c r="E1" s="323"/>
      <c r="F1" s="323"/>
      <c r="G1" s="323"/>
      <c r="H1" s="323"/>
      <c r="I1" s="323"/>
      <c r="J1" s="323"/>
      <c r="K1" s="323"/>
      <c r="L1" s="323"/>
      <c r="M1" s="323"/>
      <c r="N1" s="323"/>
      <c r="O1" s="323"/>
      <c r="P1" s="323"/>
      <c r="Q1" s="323"/>
      <c r="S1" s="73" t="s">
        <v>2</v>
      </c>
      <c r="T1" s="73"/>
      <c r="U1" s="73"/>
      <c r="V1" s="73"/>
      <c r="W1" s="73"/>
      <c r="X1" s="73"/>
      <c r="Y1" s="73"/>
      <c r="Z1" s="73"/>
      <c r="AA1" s="73"/>
      <c r="AB1" s="73"/>
      <c r="AC1" s="73"/>
    </row>
    <row r="2" spans="1:31" ht="15" customHeight="1" x14ac:dyDescent="0.35">
      <c r="A2" t="s">
        <v>3</v>
      </c>
      <c r="C2" s="323" t="s">
        <v>4</v>
      </c>
      <c r="D2" s="323"/>
      <c r="E2" s="323"/>
      <c r="F2" s="323"/>
      <c r="G2" s="323"/>
      <c r="H2" s="323"/>
      <c r="I2" s="323"/>
      <c r="J2" s="323"/>
      <c r="K2" s="323"/>
      <c r="L2" s="323"/>
      <c r="M2" s="323"/>
      <c r="N2" s="323"/>
      <c r="O2" s="323"/>
      <c r="P2" s="323"/>
      <c r="Q2" s="323"/>
      <c r="S2" s="170"/>
      <c r="T2" s="170"/>
      <c r="U2" s="170"/>
      <c r="V2" s="170"/>
      <c r="W2" s="170"/>
      <c r="X2" s="170"/>
      <c r="Y2" s="170"/>
      <c r="Z2" s="170"/>
      <c r="AA2" s="170"/>
      <c r="AB2" s="170"/>
      <c r="AC2" s="170"/>
    </row>
    <row r="3" spans="1:31" ht="32.25" customHeight="1" x14ac:dyDescent="0.35">
      <c r="A3" s="278" t="s">
        <v>5</v>
      </c>
      <c r="B3" s="278"/>
      <c r="C3" s="279" t="s">
        <v>6</v>
      </c>
      <c r="D3" s="279"/>
      <c r="E3" s="279"/>
      <c r="F3" s="279"/>
      <c r="G3" s="279"/>
      <c r="H3" s="279"/>
      <c r="I3" s="279"/>
      <c r="J3" s="279"/>
      <c r="K3" s="279"/>
      <c r="L3" s="279"/>
      <c r="M3" s="279"/>
      <c r="N3" s="279"/>
      <c r="O3" s="279"/>
      <c r="P3" s="279"/>
      <c r="Q3" s="279"/>
      <c r="S3" s="294" t="s">
        <v>7</v>
      </c>
      <c r="T3" s="291" t="s">
        <v>8</v>
      </c>
      <c r="U3" s="131"/>
      <c r="V3" s="288" t="s">
        <v>9</v>
      </c>
      <c r="W3" s="297" t="s">
        <v>10</v>
      </c>
      <c r="X3" s="298"/>
      <c r="Y3" s="298"/>
      <c r="Z3" s="301" t="s">
        <v>11</v>
      </c>
      <c r="AA3" s="302"/>
      <c r="AB3" s="303"/>
      <c r="AC3" s="206" t="s">
        <v>12</v>
      </c>
      <c r="AD3" s="207"/>
      <c r="AE3" s="208"/>
    </row>
    <row r="4" spans="1:31" ht="14.25" customHeight="1" x14ac:dyDescent="0.35">
      <c r="A4" s="333" t="s">
        <v>13</v>
      </c>
      <c r="B4" s="324" t="s">
        <v>14</v>
      </c>
      <c r="C4" s="215" t="s">
        <v>15</v>
      </c>
      <c r="D4" s="216"/>
      <c r="E4" s="216"/>
      <c r="F4" s="216"/>
      <c r="G4" s="216"/>
      <c r="H4" s="216"/>
      <c r="I4" s="216"/>
      <c r="J4" s="216"/>
      <c r="K4" s="216"/>
      <c r="L4" s="216"/>
      <c r="M4" s="216"/>
      <c r="N4" s="216"/>
      <c r="O4" s="216"/>
      <c r="P4" s="216"/>
      <c r="Q4" s="217"/>
      <c r="S4" s="295"/>
      <c r="T4" s="292"/>
      <c r="U4" s="132"/>
      <c r="V4" s="289"/>
      <c r="W4" s="299"/>
      <c r="X4" s="300"/>
      <c r="Y4" s="300"/>
      <c r="Z4" s="304"/>
      <c r="AA4" s="305"/>
      <c r="AB4" s="306"/>
      <c r="AC4" s="209"/>
      <c r="AD4" s="210"/>
      <c r="AE4" s="211"/>
    </row>
    <row r="5" spans="1:31" ht="23.25" customHeight="1" x14ac:dyDescent="0.35">
      <c r="A5" s="334"/>
      <c r="B5" s="325"/>
      <c r="C5" s="218"/>
      <c r="D5" s="219"/>
      <c r="E5" s="219"/>
      <c r="F5" s="219"/>
      <c r="G5" s="219"/>
      <c r="H5" s="219"/>
      <c r="I5" s="219"/>
      <c r="J5" s="219"/>
      <c r="K5" s="219"/>
      <c r="L5" s="219"/>
      <c r="M5" s="219"/>
      <c r="N5" s="219"/>
      <c r="O5" s="219"/>
      <c r="P5" s="219"/>
      <c r="Q5" s="220"/>
      <c r="S5" s="296"/>
      <c r="T5" s="293"/>
      <c r="U5" s="133"/>
      <c r="V5" s="290"/>
      <c r="W5" s="64" t="s">
        <v>16</v>
      </c>
      <c r="X5" s="65" t="s">
        <v>17</v>
      </c>
      <c r="Y5" s="64" t="s">
        <v>18</v>
      </c>
      <c r="Z5" s="70" t="s">
        <v>16</v>
      </c>
      <c r="AA5" s="71" t="s">
        <v>17</v>
      </c>
      <c r="AB5" s="70" t="s">
        <v>19</v>
      </c>
      <c r="AC5" s="114" t="s">
        <v>16</v>
      </c>
      <c r="AD5" s="115" t="s">
        <v>17</v>
      </c>
      <c r="AE5" s="114" t="s">
        <v>19</v>
      </c>
    </row>
    <row r="6" spans="1:31" ht="30" customHeight="1" x14ac:dyDescent="0.35">
      <c r="A6" s="334"/>
      <c r="B6" s="326"/>
      <c r="C6" s="221"/>
      <c r="D6" s="222"/>
      <c r="E6" s="222"/>
      <c r="F6" s="222"/>
      <c r="G6" s="222"/>
      <c r="H6" s="222"/>
      <c r="I6" s="222"/>
      <c r="J6" s="222"/>
      <c r="K6" s="222"/>
      <c r="L6" s="222"/>
      <c r="M6" s="222"/>
      <c r="N6" s="222"/>
      <c r="O6" s="222"/>
      <c r="P6" s="222"/>
      <c r="Q6" s="223"/>
      <c r="S6" s="66" t="s">
        <v>20</v>
      </c>
      <c r="T6" s="66">
        <v>974</v>
      </c>
      <c r="U6" s="66" t="s">
        <v>21</v>
      </c>
      <c r="V6" s="51">
        <v>0.03</v>
      </c>
      <c r="W6" s="51">
        <v>0.03</v>
      </c>
      <c r="X6" s="51">
        <v>0.03</v>
      </c>
      <c r="Y6" s="51">
        <v>0.03</v>
      </c>
      <c r="Z6" s="47">
        <v>0.2</v>
      </c>
      <c r="AA6" s="46">
        <v>0.15</v>
      </c>
      <c r="AB6" s="47">
        <v>0.1</v>
      </c>
      <c r="AC6" s="47">
        <v>0.05</v>
      </c>
      <c r="AD6" s="46">
        <v>0.05</v>
      </c>
      <c r="AE6" s="47">
        <v>0.05</v>
      </c>
    </row>
    <row r="7" spans="1:31" ht="15.75" customHeight="1" x14ac:dyDescent="0.35">
      <c r="A7" s="334"/>
      <c r="B7" s="327" t="s">
        <v>22</v>
      </c>
      <c r="C7" s="215" t="s">
        <v>23</v>
      </c>
      <c r="D7" s="216"/>
      <c r="E7" s="216"/>
      <c r="F7" s="216"/>
      <c r="G7" s="216"/>
      <c r="H7" s="216"/>
      <c r="I7" s="216"/>
      <c r="J7" s="216"/>
      <c r="K7" s="216"/>
      <c r="L7" s="216"/>
      <c r="M7" s="216"/>
      <c r="N7" s="216"/>
      <c r="O7" s="216"/>
      <c r="P7" s="216"/>
      <c r="Q7" s="217"/>
      <c r="S7" s="66" t="s">
        <v>24</v>
      </c>
      <c r="T7" s="66">
        <v>924</v>
      </c>
      <c r="U7" s="66" t="s">
        <v>21</v>
      </c>
      <c r="V7" s="51">
        <v>0.05</v>
      </c>
      <c r="W7" s="51">
        <v>0.05</v>
      </c>
      <c r="X7" s="51">
        <v>0.05</v>
      </c>
      <c r="Y7" s="51">
        <v>0.05</v>
      </c>
      <c r="Z7" s="46">
        <v>0.5</v>
      </c>
      <c r="AA7" s="46">
        <v>0.5</v>
      </c>
      <c r="AB7" s="46">
        <v>0.5</v>
      </c>
      <c r="AC7" s="46" t="s">
        <v>25</v>
      </c>
      <c r="AD7" s="46" t="s">
        <v>25</v>
      </c>
      <c r="AE7" s="46" t="s">
        <v>25</v>
      </c>
    </row>
    <row r="8" spans="1:31" ht="15.75" customHeight="1" x14ac:dyDescent="0.35">
      <c r="A8" s="334"/>
      <c r="B8" s="328"/>
      <c r="C8" s="218"/>
      <c r="D8" s="219"/>
      <c r="E8" s="219"/>
      <c r="F8" s="219"/>
      <c r="G8" s="219"/>
      <c r="H8" s="219"/>
      <c r="I8" s="219"/>
      <c r="J8" s="219"/>
      <c r="K8" s="219"/>
      <c r="L8" s="219"/>
      <c r="M8" s="219"/>
      <c r="N8" s="219"/>
      <c r="O8" s="219"/>
      <c r="P8" s="219"/>
      <c r="Q8" s="220"/>
      <c r="S8" s="66" t="s">
        <v>26</v>
      </c>
      <c r="T8" s="66">
        <v>924</v>
      </c>
      <c r="U8" s="66" t="s">
        <v>21</v>
      </c>
      <c r="V8" s="51">
        <v>0.3</v>
      </c>
      <c r="W8" s="9">
        <v>0.4</v>
      </c>
      <c r="X8" s="9">
        <v>0.4</v>
      </c>
      <c r="Y8" s="9">
        <v>0.3</v>
      </c>
      <c r="Z8" s="48">
        <v>5</v>
      </c>
      <c r="AA8" s="48">
        <v>5</v>
      </c>
      <c r="AB8" s="48">
        <v>5</v>
      </c>
      <c r="AC8" s="46" t="s">
        <v>25</v>
      </c>
      <c r="AD8" s="46" t="s">
        <v>25</v>
      </c>
      <c r="AE8" s="46" t="s">
        <v>25</v>
      </c>
    </row>
    <row r="9" spans="1:31" ht="15.75" customHeight="1" x14ac:dyDescent="0.35">
      <c r="A9" s="334"/>
      <c r="B9" s="328"/>
      <c r="C9" s="218"/>
      <c r="D9" s="219"/>
      <c r="E9" s="219"/>
      <c r="F9" s="219"/>
      <c r="G9" s="219"/>
      <c r="H9" s="219"/>
      <c r="I9" s="219"/>
      <c r="J9" s="219"/>
      <c r="K9" s="219"/>
      <c r="L9" s="219"/>
      <c r="M9" s="219"/>
      <c r="N9" s="219"/>
      <c r="O9" s="219"/>
      <c r="P9" s="219"/>
      <c r="Q9" s="220"/>
      <c r="S9" s="66" t="s">
        <v>27</v>
      </c>
      <c r="T9" s="66">
        <v>1816</v>
      </c>
      <c r="U9" s="66" t="s">
        <v>28</v>
      </c>
      <c r="V9" s="51">
        <v>35</v>
      </c>
      <c r="W9" s="51">
        <v>45</v>
      </c>
      <c r="X9" s="51">
        <v>55</v>
      </c>
      <c r="Y9" s="51">
        <v>60</v>
      </c>
      <c r="Z9" s="46">
        <v>40</v>
      </c>
      <c r="AA9" s="46">
        <v>47</v>
      </c>
      <c r="AB9" s="46">
        <v>50</v>
      </c>
      <c r="AC9" s="46">
        <v>45</v>
      </c>
      <c r="AD9" s="46">
        <v>55</v>
      </c>
      <c r="AE9" s="46">
        <v>60</v>
      </c>
    </row>
    <row r="10" spans="1:31" ht="24" customHeight="1" x14ac:dyDescent="0.35">
      <c r="A10" s="334"/>
      <c r="B10" s="328"/>
      <c r="C10" s="221"/>
      <c r="D10" s="222"/>
      <c r="E10" s="222"/>
      <c r="F10" s="222"/>
      <c r="G10" s="222"/>
      <c r="H10" s="222"/>
      <c r="I10" s="222"/>
      <c r="J10" s="222"/>
      <c r="K10" s="222"/>
      <c r="L10" s="222"/>
      <c r="M10" s="222"/>
      <c r="N10" s="222"/>
      <c r="O10" s="222"/>
      <c r="P10" s="222"/>
      <c r="Q10" s="223"/>
      <c r="S10" s="66" t="s">
        <v>29</v>
      </c>
      <c r="T10" s="66">
        <v>971</v>
      </c>
      <c r="U10" s="66" t="s">
        <v>28</v>
      </c>
      <c r="V10" s="51">
        <v>40</v>
      </c>
      <c r="W10" s="51">
        <v>38</v>
      </c>
      <c r="X10" s="51">
        <v>38</v>
      </c>
      <c r="Y10" s="51">
        <v>38</v>
      </c>
      <c r="Z10" s="46">
        <v>25</v>
      </c>
      <c r="AA10" s="46">
        <v>30</v>
      </c>
      <c r="AB10" s="46">
        <v>32</v>
      </c>
      <c r="AC10" s="46">
        <v>35</v>
      </c>
      <c r="AD10" s="46">
        <v>35</v>
      </c>
      <c r="AE10" s="46">
        <v>35</v>
      </c>
    </row>
    <row r="11" spans="1:31" ht="15.75" customHeight="1" x14ac:dyDescent="0.35">
      <c r="A11" s="334"/>
      <c r="B11" s="328"/>
      <c r="C11" s="215" t="s">
        <v>30</v>
      </c>
      <c r="D11" s="216"/>
      <c r="E11" s="216"/>
      <c r="F11" s="216"/>
      <c r="G11" s="216"/>
      <c r="H11" s="216"/>
      <c r="I11" s="216"/>
      <c r="J11" s="216"/>
      <c r="K11" s="216"/>
      <c r="L11" s="216"/>
      <c r="M11" s="216"/>
      <c r="N11" s="216"/>
      <c r="O11" s="216"/>
      <c r="P11" s="216"/>
      <c r="Q11" s="217"/>
      <c r="S11" s="66" t="s">
        <v>31</v>
      </c>
      <c r="T11" s="66">
        <v>1533</v>
      </c>
      <c r="U11" s="66" t="s">
        <v>21</v>
      </c>
      <c r="V11" s="51">
        <v>35</v>
      </c>
      <c r="W11" s="51">
        <v>20</v>
      </c>
      <c r="X11" s="51">
        <v>10</v>
      </c>
      <c r="Y11" s="51">
        <v>10</v>
      </c>
      <c r="Z11" s="46">
        <v>35</v>
      </c>
      <c r="AA11" s="46">
        <v>25</v>
      </c>
      <c r="AB11" s="46">
        <v>20</v>
      </c>
      <c r="AC11" s="46">
        <v>35</v>
      </c>
      <c r="AD11" s="46">
        <v>20</v>
      </c>
      <c r="AE11" s="46">
        <v>15</v>
      </c>
    </row>
    <row r="12" spans="1:31" ht="15.75" customHeight="1" x14ac:dyDescent="0.35">
      <c r="A12" s="334"/>
      <c r="B12" s="328"/>
      <c r="C12" s="218"/>
      <c r="D12" s="219"/>
      <c r="E12" s="219"/>
      <c r="F12" s="219"/>
      <c r="G12" s="219"/>
      <c r="H12" s="219"/>
      <c r="I12" s="219"/>
      <c r="J12" s="219"/>
      <c r="K12" s="219"/>
      <c r="L12" s="219"/>
      <c r="M12" s="219"/>
      <c r="N12" s="219"/>
      <c r="O12" s="219"/>
      <c r="P12" s="219"/>
      <c r="Q12" s="220"/>
      <c r="S12" s="66" t="s">
        <v>32</v>
      </c>
      <c r="T12" s="66">
        <v>1500</v>
      </c>
      <c r="U12" s="66" t="s">
        <v>21</v>
      </c>
      <c r="V12" s="51">
        <v>0.5</v>
      </c>
      <c r="W12" s="10">
        <v>1</v>
      </c>
      <c r="X12" s="10">
        <v>1</v>
      </c>
      <c r="Y12" s="10">
        <v>0.5</v>
      </c>
      <c r="Z12" s="46" t="s">
        <v>25</v>
      </c>
      <c r="AA12" s="46" t="s">
        <v>25</v>
      </c>
      <c r="AB12" s="46" t="s">
        <v>25</v>
      </c>
      <c r="AC12" s="46">
        <v>1.5</v>
      </c>
      <c r="AD12" s="46">
        <v>1.5</v>
      </c>
      <c r="AE12" s="46">
        <v>1.5</v>
      </c>
    </row>
    <row r="13" spans="1:31" ht="15.75" customHeight="1" x14ac:dyDescent="0.35">
      <c r="A13" s="334"/>
      <c r="B13" s="328"/>
      <c r="C13" s="218"/>
      <c r="D13" s="219"/>
      <c r="E13" s="219"/>
      <c r="F13" s="219"/>
      <c r="G13" s="219"/>
      <c r="H13" s="219"/>
      <c r="I13" s="219"/>
      <c r="J13" s="219"/>
      <c r="K13" s="219"/>
      <c r="L13" s="219"/>
      <c r="M13" s="219"/>
      <c r="N13" s="219"/>
      <c r="O13" s="219"/>
      <c r="P13" s="219"/>
      <c r="Q13" s="220"/>
      <c r="S13" s="66" t="s">
        <v>33</v>
      </c>
      <c r="T13" s="66">
        <v>1524</v>
      </c>
      <c r="U13" s="66"/>
      <c r="V13" s="51" t="s">
        <v>34</v>
      </c>
      <c r="W13" s="51" t="s">
        <v>34</v>
      </c>
      <c r="X13" s="51" t="s">
        <v>34</v>
      </c>
      <c r="Y13" s="51" t="s">
        <v>34</v>
      </c>
      <c r="Z13" s="46" t="s">
        <v>25</v>
      </c>
      <c r="AA13" s="46" t="s">
        <v>25</v>
      </c>
      <c r="AB13" s="46" t="s">
        <v>25</v>
      </c>
      <c r="AC13" s="51" t="s">
        <v>34</v>
      </c>
      <c r="AD13" s="51" t="s">
        <v>34</v>
      </c>
      <c r="AE13" s="51" t="s">
        <v>34</v>
      </c>
    </row>
    <row r="14" spans="1:31" ht="15.75" customHeight="1" x14ac:dyDescent="0.35">
      <c r="A14" s="334"/>
      <c r="B14" s="329"/>
      <c r="C14" s="221"/>
      <c r="D14" s="222"/>
      <c r="E14" s="222"/>
      <c r="F14" s="222"/>
      <c r="G14" s="222"/>
      <c r="H14" s="222"/>
      <c r="I14" s="222"/>
      <c r="J14" s="222"/>
      <c r="K14" s="222"/>
      <c r="L14" s="222"/>
      <c r="M14" s="222"/>
      <c r="N14" s="222"/>
      <c r="O14" s="222"/>
      <c r="P14" s="222"/>
      <c r="Q14" s="223"/>
      <c r="S14" s="66" t="s">
        <v>35</v>
      </c>
      <c r="T14" s="66">
        <v>1575</v>
      </c>
      <c r="U14" s="66"/>
      <c r="V14" s="11" t="s">
        <v>36</v>
      </c>
      <c r="W14" s="11" t="s">
        <v>36</v>
      </c>
      <c r="X14" s="11" t="s">
        <v>36</v>
      </c>
      <c r="Y14" s="11" t="s">
        <v>36</v>
      </c>
      <c r="Z14" s="46" t="s">
        <v>25</v>
      </c>
      <c r="AA14" s="46" t="s">
        <v>25</v>
      </c>
      <c r="AB14" s="46" t="s">
        <v>25</v>
      </c>
      <c r="AC14" s="46" t="s">
        <v>25</v>
      </c>
      <c r="AD14" s="46" t="s">
        <v>25</v>
      </c>
      <c r="AE14" s="46" t="s">
        <v>25</v>
      </c>
    </row>
    <row r="15" spans="1:31" ht="15.75" customHeight="1" x14ac:dyDescent="0.35">
      <c r="A15" s="334"/>
      <c r="B15" s="330" t="s">
        <v>37</v>
      </c>
      <c r="C15" s="215" t="s">
        <v>38</v>
      </c>
      <c r="D15" s="216"/>
      <c r="E15" s="216"/>
      <c r="F15" s="216"/>
      <c r="G15" s="216"/>
      <c r="H15" s="216"/>
      <c r="I15" s="216"/>
      <c r="J15" s="216"/>
      <c r="K15" s="216"/>
      <c r="L15" s="216"/>
      <c r="M15" s="216"/>
      <c r="N15" s="216"/>
      <c r="O15" s="216"/>
      <c r="P15" s="216"/>
      <c r="Q15" s="217"/>
      <c r="S15" s="67" t="s">
        <v>39</v>
      </c>
      <c r="T15" s="67">
        <v>7777</v>
      </c>
      <c r="U15" s="67"/>
      <c r="V15" s="13">
        <v>0.91</v>
      </c>
      <c r="W15" s="13" t="s">
        <v>25</v>
      </c>
      <c r="X15" s="13" t="s">
        <v>25</v>
      </c>
      <c r="Y15" s="13" t="s">
        <v>25</v>
      </c>
      <c r="Z15" s="72" t="s">
        <v>25</v>
      </c>
      <c r="AA15" s="72" t="s">
        <v>25</v>
      </c>
      <c r="AB15" s="72" t="s">
        <v>25</v>
      </c>
      <c r="AC15" s="72" t="s">
        <v>25</v>
      </c>
      <c r="AD15" s="72" t="s">
        <v>25</v>
      </c>
      <c r="AE15" s="72" t="s">
        <v>25</v>
      </c>
    </row>
    <row r="16" spans="1:31" ht="15.75" customHeight="1" x14ac:dyDescent="0.35">
      <c r="A16" s="334"/>
      <c r="B16" s="331"/>
      <c r="C16" s="218"/>
      <c r="D16" s="219"/>
      <c r="E16" s="219"/>
      <c r="F16" s="219"/>
      <c r="G16" s="219"/>
      <c r="H16" s="219"/>
      <c r="I16" s="219"/>
      <c r="J16" s="219"/>
      <c r="K16" s="219"/>
      <c r="L16" s="219"/>
      <c r="M16" s="219"/>
      <c r="N16" s="219"/>
      <c r="O16" s="219"/>
      <c r="P16" s="219"/>
      <c r="Q16" s="220"/>
      <c r="S16" s="94" t="s">
        <v>40</v>
      </c>
      <c r="T16" s="68">
        <v>2668</v>
      </c>
      <c r="U16" s="66" t="s">
        <v>28</v>
      </c>
      <c r="V16" s="134">
        <v>0.08</v>
      </c>
      <c r="W16" s="134">
        <v>0.08</v>
      </c>
      <c r="X16" s="134">
        <v>0.08</v>
      </c>
      <c r="Y16" s="134">
        <v>0.08</v>
      </c>
      <c r="Z16" s="134">
        <v>0.08</v>
      </c>
      <c r="AA16" s="134">
        <v>0.08</v>
      </c>
      <c r="AB16" s="134">
        <v>0.08</v>
      </c>
      <c r="AC16" s="46" t="s">
        <v>25</v>
      </c>
      <c r="AD16" s="46" t="s">
        <v>25</v>
      </c>
      <c r="AE16" s="46" t="s">
        <v>25</v>
      </c>
    </row>
    <row r="17" spans="1:31" ht="15.75" customHeight="1" x14ac:dyDescent="0.35">
      <c r="A17" s="334"/>
      <c r="B17" s="331"/>
      <c r="C17" s="218"/>
      <c r="D17" s="219"/>
      <c r="E17" s="219"/>
      <c r="F17" s="219"/>
      <c r="G17" s="219"/>
      <c r="H17" s="219"/>
      <c r="I17" s="219"/>
      <c r="J17" s="219"/>
      <c r="K17" s="219"/>
      <c r="L17" s="219"/>
      <c r="M17" s="219"/>
      <c r="N17" s="219"/>
      <c r="O17" s="219"/>
      <c r="P17" s="219"/>
      <c r="Q17" s="220"/>
    </row>
    <row r="18" spans="1:31" ht="15.75" customHeight="1" x14ac:dyDescent="0.35">
      <c r="A18" s="334"/>
      <c r="B18" s="331"/>
      <c r="C18" s="221"/>
      <c r="D18" s="222"/>
      <c r="E18" s="222"/>
      <c r="F18" s="222"/>
      <c r="G18" s="222"/>
      <c r="H18" s="222"/>
      <c r="I18" s="222"/>
      <c r="J18" s="222"/>
      <c r="K18" s="222"/>
      <c r="L18" s="222"/>
      <c r="M18" s="222"/>
      <c r="N18" s="222"/>
      <c r="O18" s="222"/>
      <c r="P18" s="222"/>
      <c r="Q18" s="223"/>
      <c r="S18" s="294" t="s">
        <v>7</v>
      </c>
      <c r="T18" s="291" t="s">
        <v>8</v>
      </c>
      <c r="U18" s="131"/>
      <c r="V18" s="212" t="s">
        <v>41</v>
      </c>
      <c r="W18" s="212"/>
      <c r="X18" s="212"/>
      <c r="Y18" s="212"/>
      <c r="Z18" s="212"/>
    </row>
    <row r="19" spans="1:31" ht="15.75" customHeight="1" x14ac:dyDescent="0.35">
      <c r="A19" s="334"/>
      <c r="B19" s="331"/>
      <c r="C19" s="215" t="s">
        <v>42</v>
      </c>
      <c r="D19" s="216"/>
      <c r="E19" s="216"/>
      <c r="F19" s="216"/>
      <c r="G19" s="216"/>
      <c r="H19" s="216"/>
      <c r="I19" s="216"/>
      <c r="J19" s="216"/>
      <c r="K19" s="216"/>
      <c r="L19" s="216"/>
      <c r="M19" s="216"/>
      <c r="N19" s="216"/>
      <c r="O19" s="216"/>
      <c r="P19" s="216"/>
      <c r="Q19" s="217"/>
      <c r="R19" s="2"/>
      <c r="S19" s="295"/>
      <c r="T19" s="292"/>
      <c r="U19" s="132"/>
      <c r="V19" s="212" t="s">
        <v>43</v>
      </c>
      <c r="W19" s="212"/>
      <c r="X19" s="285" t="s">
        <v>44</v>
      </c>
      <c r="Y19" s="286"/>
      <c r="Z19" s="287"/>
      <c r="AA19" s="2"/>
      <c r="AB19" s="2"/>
      <c r="AC19" s="2"/>
      <c r="AD19" s="2"/>
      <c r="AE19" s="2"/>
    </row>
    <row r="20" spans="1:31" ht="24" customHeight="1" x14ac:dyDescent="0.35">
      <c r="A20" s="334"/>
      <c r="B20" s="331"/>
      <c r="C20" s="218"/>
      <c r="D20" s="219"/>
      <c r="E20" s="219"/>
      <c r="F20" s="219"/>
      <c r="G20" s="219"/>
      <c r="H20" s="219"/>
      <c r="I20" s="219"/>
      <c r="J20" s="219"/>
      <c r="K20" s="219"/>
      <c r="L20" s="219"/>
      <c r="M20" s="219"/>
      <c r="N20" s="219"/>
      <c r="O20" s="219"/>
      <c r="P20" s="219"/>
      <c r="Q20" s="220"/>
      <c r="R20" s="2"/>
      <c r="S20" s="296"/>
      <c r="T20" s="293"/>
      <c r="U20" s="133"/>
      <c r="V20" s="63" t="s">
        <v>16</v>
      </c>
      <c r="W20" s="63" t="s">
        <v>45</v>
      </c>
      <c r="X20" s="63" t="s">
        <v>46</v>
      </c>
      <c r="Y20" s="63" t="s">
        <v>16</v>
      </c>
      <c r="Z20" s="63" t="s">
        <v>45</v>
      </c>
      <c r="AA20" s="2"/>
      <c r="AB20" s="2"/>
      <c r="AC20" s="2"/>
      <c r="AD20" s="2"/>
      <c r="AE20" s="2"/>
    </row>
    <row r="21" spans="1:31" ht="16.5" customHeight="1" x14ac:dyDescent="0.35">
      <c r="A21" s="334"/>
      <c r="B21" s="331"/>
      <c r="C21" s="218"/>
      <c r="D21" s="219"/>
      <c r="E21" s="219"/>
      <c r="F21" s="219"/>
      <c r="G21" s="219"/>
      <c r="H21" s="219"/>
      <c r="I21" s="219"/>
      <c r="J21" s="219"/>
      <c r="K21" s="219"/>
      <c r="L21" s="219"/>
      <c r="M21" s="219"/>
      <c r="N21" s="219"/>
      <c r="O21" s="219"/>
      <c r="P21" s="219"/>
      <c r="Q21" s="220"/>
      <c r="R21" s="2"/>
      <c r="S21" s="66" t="s">
        <v>20</v>
      </c>
      <c r="T21" s="66">
        <v>974</v>
      </c>
      <c r="U21" s="66" t="s">
        <v>21</v>
      </c>
      <c r="V21" s="51">
        <v>0.03</v>
      </c>
      <c r="W21" s="51">
        <v>0.03</v>
      </c>
      <c r="X21" s="51">
        <v>0.2</v>
      </c>
      <c r="Y21" s="51">
        <v>0.2</v>
      </c>
      <c r="Z21" s="51">
        <v>0.2</v>
      </c>
      <c r="AA21" s="2"/>
      <c r="AB21" s="2"/>
      <c r="AC21" s="2"/>
      <c r="AD21" s="2"/>
      <c r="AE21" s="2"/>
    </row>
    <row r="22" spans="1:31" ht="15.75" customHeight="1" x14ac:dyDescent="0.35">
      <c r="A22" s="334"/>
      <c r="B22" s="331"/>
      <c r="C22" s="221"/>
      <c r="D22" s="222"/>
      <c r="E22" s="222"/>
      <c r="F22" s="222"/>
      <c r="G22" s="222"/>
      <c r="H22" s="222"/>
      <c r="I22" s="222"/>
      <c r="J22" s="222"/>
      <c r="K22" s="222"/>
      <c r="L22" s="222"/>
      <c r="M22" s="222"/>
      <c r="N22" s="222"/>
      <c r="O22" s="222"/>
      <c r="P22" s="222"/>
      <c r="Q22" s="223"/>
      <c r="R22" s="2"/>
      <c r="S22" s="66" t="s">
        <v>47</v>
      </c>
      <c r="T22" s="66">
        <v>924</v>
      </c>
      <c r="U22" s="66" t="s">
        <v>21</v>
      </c>
      <c r="V22" s="10" t="s">
        <v>25</v>
      </c>
      <c r="W22" s="10" t="s">
        <v>25</v>
      </c>
      <c r="X22" s="10" t="s">
        <v>25</v>
      </c>
      <c r="Y22" s="10" t="s">
        <v>25</v>
      </c>
      <c r="Z22" s="10" t="s">
        <v>25</v>
      </c>
      <c r="AA22" s="2"/>
      <c r="AB22" s="2"/>
      <c r="AC22" s="2"/>
      <c r="AD22" s="2"/>
      <c r="AE22" s="2"/>
    </row>
    <row r="23" spans="1:31" ht="15.75" customHeight="1" x14ac:dyDescent="0.35">
      <c r="A23" s="334"/>
      <c r="B23" s="331"/>
      <c r="C23" s="215" t="s">
        <v>48</v>
      </c>
      <c r="D23" s="216"/>
      <c r="E23" s="216"/>
      <c r="F23" s="216"/>
      <c r="G23" s="216"/>
      <c r="H23" s="216"/>
      <c r="I23" s="216"/>
      <c r="J23" s="216"/>
      <c r="K23" s="216"/>
      <c r="L23" s="216"/>
      <c r="M23" s="216"/>
      <c r="N23" s="216"/>
      <c r="O23" s="216"/>
      <c r="P23" s="216"/>
      <c r="Q23" s="217"/>
      <c r="R23" s="2"/>
      <c r="S23" s="66" t="s">
        <v>49</v>
      </c>
      <c r="T23" s="66">
        <v>924</v>
      </c>
      <c r="U23" s="66" t="s">
        <v>21</v>
      </c>
      <c r="V23" s="9" t="s">
        <v>25</v>
      </c>
      <c r="W23" s="9" t="s">
        <v>25</v>
      </c>
      <c r="X23" s="9" t="s">
        <v>25</v>
      </c>
      <c r="Y23" s="9" t="s">
        <v>25</v>
      </c>
      <c r="Z23" s="9" t="s">
        <v>25</v>
      </c>
      <c r="AA23" s="2"/>
      <c r="AB23" s="2"/>
      <c r="AC23" s="2"/>
      <c r="AD23" s="2"/>
      <c r="AE23" s="2"/>
    </row>
    <row r="24" spans="1:31" ht="15.75" customHeight="1" x14ac:dyDescent="0.35">
      <c r="A24" s="334"/>
      <c r="B24" s="331"/>
      <c r="C24" s="218"/>
      <c r="D24" s="219"/>
      <c r="E24" s="219"/>
      <c r="F24" s="219"/>
      <c r="G24" s="219"/>
      <c r="H24" s="219"/>
      <c r="I24" s="219"/>
      <c r="J24" s="219"/>
      <c r="K24" s="219"/>
      <c r="L24" s="219"/>
      <c r="M24" s="219"/>
      <c r="N24" s="219"/>
      <c r="O24" s="219"/>
      <c r="P24" s="219"/>
      <c r="Q24" s="220"/>
      <c r="R24" s="2"/>
      <c r="S24" s="66" t="s">
        <v>27</v>
      </c>
      <c r="T24" s="66">
        <v>1816</v>
      </c>
      <c r="U24" s="66" t="s">
        <v>28</v>
      </c>
      <c r="V24" s="51">
        <v>45</v>
      </c>
      <c r="W24" s="51">
        <v>55</v>
      </c>
      <c r="X24" s="51">
        <v>30</v>
      </c>
      <c r="Y24" s="51">
        <v>35</v>
      </c>
      <c r="Z24" s="51">
        <v>45</v>
      </c>
      <c r="AA24" s="2"/>
      <c r="AB24" s="2"/>
      <c r="AC24" s="2"/>
      <c r="AD24" s="2"/>
      <c r="AE24" s="2"/>
    </row>
    <row r="25" spans="1:31" ht="15.75" customHeight="1" x14ac:dyDescent="0.35">
      <c r="A25" s="334"/>
      <c r="B25" s="331"/>
      <c r="C25" s="218"/>
      <c r="D25" s="219"/>
      <c r="E25" s="219"/>
      <c r="F25" s="219"/>
      <c r="G25" s="219"/>
      <c r="H25" s="219"/>
      <c r="I25" s="219"/>
      <c r="J25" s="219"/>
      <c r="K25" s="219"/>
      <c r="L25" s="219"/>
      <c r="M25" s="219"/>
      <c r="N25" s="219"/>
      <c r="O25" s="219"/>
      <c r="P25" s="219"/>
      <c r="Q25" s="220"/>
      <c r="R25" s="2"/>
      <c r="S25" s="66" t="s">
        <v>29</v>
      </c>
      <c r="T25" s="66">
        <v>971</v>
      </c>
      <c r="U25" s="66" t="s">
        <v>28</v>
      </c>
      <c r="V25" s="51" t="s">
        <v>25</v>
      </c>
      <c r="W25" s="51" t="s">
        <v>25</v>
      </c>
      <c r="X25" s="51">
        <v>25</v>
      </c>
      <c r="Y25" s="51">
        <v>25</v>
      </c>
      <c r="Z25" s="51">
        <v>25</v>
      </c>
      <c r="AA25" s="2"/>
      <c r="AB25" s="2"/>
      <c r="AC25" s="2"/>
      <c r="AD25" s="2"/>
      <c r="AE25" s="2"/>
    </row>
    <row r="26" spans="1:31" ht="26.25" customHeight="1" x14ac:dyDescent="0.35">
      <c r="A26" s="335"/>
      <c r="B26" s="332"/>
      <c r="C26" s="221"/>
      <c r="D26" s="222"/>
      <c r="E26" s="222"/>
      <c r="F26" s="222"/>
      <c r="G26" s="222"/>
      <c r="H26" s="222"/>
      <c r="I26" s="222"/>
      <c r="J26" s="222"/>
      <c r="K26" s="222"/>
      <c r="L26" s="222"/>
      <c r="M26" s="222"/>
      <c r="N26" s="222"/>
      <c r="O26" s="222"/>
      <c r="P26" s="222"/>
      <c r="Q26" s="223"/>
      <c r="R26" s="2"/>
      <c r="S26" s="66" t="s">
        <v>31</v>
      </c>
      <c r="T26" s="66">
        <v>1533</v>
      </c>
      <c r="U26" s="66" t="s">
        <v>21</v>
      </c>
      <c r="V26" s="51">
        <v>20</v>
      </c>
      <c r="W26" s="51">
        <v>10</v>
      </c>
      <c r="X26" s="51">
        <v>40</v>
      </c>
      <c r="Y26" s="51">
        <v>30</v>
      </c>
      <c r="Z26" s="51">
        <v>25</v>
      </c>
      <c r="AA26" s="2"/>
      <c r="AB26" s="2"/>
      <c r="AC26" s="2"/>
      <c r="AD26" s="2"/>
      <c r="AE26" s="2"/>
    </row>
    <row r="27" spans="1:31" ht="54.75" customHeight="1" x14ac:dyDescent="0.35">
      <c r="A27" s="169"/>
      <c r="B27" s="167"/>
      <c r="C27" s="236" t="s">
        <v>50</v>
      </c>
      <c r="D27" s="237"/>
      <c r="E27" s="237"/>
      <c r="F27" s="237"/>
      <c r="G27" s="237"/>
      <c r="H27" s="237"/>
      <c r="I27" s="237"/>
      <c r="J27" s="237"/>
      <c r="K27" s="237"/>
      <c r="L27" s="237"/>
      <c r="M27" s="237"/>
      <c r="N27" s="237"/>
      <c r="O27" s="237"/>
      <c r="P27" s="237"/>
      <c r="Q27" s="238"/>
      <c r="R27" s="2"/>
      <c r="S27" s="66"/>
      <c r="T27" s="66"/>
      <c r="U27" s="66"/>
      <c r="V27" s="51"/>
      <c r="W27" s="51"/>
      <c r="X27" s="51"/>
      <c r="Y27" s="51"/>
      <c r="Z27" s="51"/>
      <c r="AA27" s="2"/>
      <c r="AB27" s="2"/>
      <c r="AC27" s="2"/>
      <c r="AD27" s="2"/>
      <c r="AE27" s="2"/>
    </row>
    <row r="28" spans="1:31" ht="14.25" customHeight="1" x14ac:dyDescent="0.35">
      <c r="A28" s="280" t="s">
        <v>51</v>
      </c>
      <c r="B28" s="282" t="s">
        <v>52</v>
      </c>
      <c r="C28" s="321" t="s">
        <v>53</v>
      </c>
      <c r="D28" s="321"/>
      <c r="E28" s="321"/>
      <c r="F28" s="321"/>
      <c r="G28" s="321"/>
      <c r="H28" s="321"/>
      <c r="I28" s="321"/>
      <c r="J28" s="321"/>
      <c r="K28" s="321"/>
      <c r="L28" s="321"/>
      <c r="M28" s="321"/>
      <c r="N28" s="321"/>
      <c r="O28" s="321"/>
      <c r="P28" s="321"/>
      <c r="Q28" s="321"/>
      <c r="R28" s="2"/>
      <c r="S28" s="66" t="s">
        <v>32</v>
      </c>
      <c r="T28" s="66">
        <v>1500</v>
      </c>
      <c r="U28" s="66" t="s">
        <v>21</v>
      </c>
      <c r="V28" s="10" t="s">
        <v>25</v>
      </c>
      <c r="W28" s="10" t="s">
        <v>25</v>
      </c>
      <c r="X28" s="10">
        <v>2</v>
      </c>
      <c r="Y28" s="10">
        <v>2</v>
      </c>
      <c r="Z28" s="10">
        <v>2</v>
      </c>
      <c r="AA28" s="2"/>
      <c r="AB28" s="2"/>
      <c r="AC28" s="2"/>
      <c r="AD28" s="2"/>
      <c r="AE28" s="2"/>
    </row>
    <row r="29" spans="1:31" ht="15" customHeight="1" x14ac:dyDescent="0.35">
      <c r="A29" s="281"/>
      <c r="B29" s="283"/>
      <c r="C29" s="337"/>
      <c r="D29" s="337"/>
      <c r="E29" s="337"/>
      <c r="F29" s="337"/>
      <c r="G29" s="337"/>
      <c r="H29" s="337"/>
      <c r="I29" s="337"/>
      <c r="J29" s="337"/>
      <c r="K29" s="337"/>
      <c r="L29" s="337"/>
      <c r="M29" s="337"/>
      <c r="N29" s="337"/>
      <c r="O29" s="337"/>
      <c r="P29" s="337"/>
      <c r="Q29" s="337"/>
      <c r="R29" s="2"/>
      <c r="S29" s="66" t="s">
        <v>33</v>
      </c>
      <c r="T29" s="66">
        <v>1524</v>
      </c>
      <c r="U29" s="66"/>
      <c r="V29" s="10" t="s">
        <v>25</v>
      </c>
      <c r="W29" s="10" t="s">
        <v>25</v>
      </c>
      <c r="X29" s="10" t="s">
        <v>25</v>
      </c>
      <c r="Y29" s="10" t="s">
        <v>25</v>
      </c>
      <c r="Z29" s="10" t="s">
        <v>25</v>
      </c>
      <c r="AA29" s="2"/>
      <c r="AB29" s="2"/>
      <c r="AC29" s="2"/>
      <c r="AD29" s="2"/>
      <c r="AE29" s="2"/>
    </row>
    <row r="30" spans="1:31" x14ac:dyDescent="0.35">
      <c r="A30" s="281"/>
      <c r="B30" s="284"/>
      <c r="C30" s="322"/>
      <c r="D30" s="322"/>
      <c r="E30" s="322"/>
      <c r="F30" s="322"/>
      <c r="G30" s="322"/>
      <c r="H30" s="322"/>
      <c r="I30" s="322"/>
      <c r="J30" s="322"/>
      <c r="K30" s="322"/>
      <c r="L30" s="322"/>
      <c r="M30" s="322"/>
      <c r="N30" s="322"/>
      <c r="O30" s="322"/>
      <c r="P30" s="322"/>
      <c r="Q30" s="322"/>
      <c r="S30" s="66" t="s">
        <v>35</v>
      </c>
      <c r="T30" s="66">
        <v>1575</v>
      </c>
      <c r="U30" s="66"/>
      <c r="V30" s="11" t="s">
        <v>36</v>
      </c>
      <c r="W30" s="11" t="s">
        <v>36</v>
      </c>
      <c r="X30" s="11" t="s">
        <v>36</v>
      </c>
      <c r="Y30" s="11" t="s">
        <v>36</v>
      </c>
      <c r="Z30" s="11" t="s">
        <v>36</v>
      </c>
    </row>
    <row r="31" spans="1:31" ht="15" customHeight="1" x14ac:dyDescent="0.35">
      <c r="A31" s="281"/>
      <c r="B31" s="282" t="s">
        <v>54</v>
      </c>
      <c r="C31" s="336" t="s">
        <v>55</v>
      </c>
      <c r="D31" s="336"/>
      <c r="E31" s="336"/>
      <c r="F31" s="336"/>
      <c r="G31" s="336"/>
      <c r="H31" s="336"/>
      <c r="I31" s="336"/>
      <c r="J31" s="336"/>
      <c r="K31" s="336"/>
      <c r="L31" s="336"/>
      <c r="M31" s="336"/>
      <c r="N31" s="336"/>
      <c r="O31" s="336"/>
      <c r="P31" s="336"/>
      <c r="Q31" s="336"/>
      <c r="S31" s="74"/>
      <c r="T31" s="74"/>
      <c r="U31" s="74"/>
      <c r="V31" s="74"/>
      <c r="W31" s="74"/>
      <c r="X31" s="74"/>
      <c r="Y31" s="74"/>
      <c r="Z31" s="74"/>
    </row>
    <row r="32" spans="1:31" x14ac:dyDescent="0.35">
      <c r="A32" s="281"/>
      <c r="B32" s="283"/>
      <c r="C32" s="336"/>
      <c r="D32" s="336"/>
      <c r="E32" s="336"/>
      <c r="F32" s="336"/>
      <c r="G32" s="336"/>
      <c r="H32" s="336"/>
      <c r="I32" s="336"/>
      <c r="J32" s="336"/>
      <c r="K32" s="336"/>
      <c r="L32" s="336"/>
      <c r="M32" s="336"/>
      <c r="N32" s="336"/>
      <c r="O32" s="336"/>
      <c r="P32" s="336"/>
      <c r="Q32" s="336"/>
      <c r="S32" s="168"/>
      <c r="T32" s="74"/>
      <c r="U32" s="74"/>
      <c r="V32" s="74"/>
      <c r="W32" s="74"/>
      <c r="X32" s="74"/>
      <c r="Y32" s="74"/>
      <c r="Z32" s="74"/>
    </row>
    <row r="33" spans="1:43" ht="39" customHeight="1" x14ac:dyDescent="0.35">
      <c r="A33" s="281"/>
      <c r="B33" s="284"/>
      <c r="C33" s="336"/>
      <c r="D33" s="336"/>
      <c r="E33" s="336"/>
      <c r="F33" s="336"/>
      <c r="G33" s="336"/>
      <c r="H33" s="336"/>
      <c r="I33" s="336"/>
      <c r="J33" s="336"/>
      <c r="K33" s="336"/>
      <c r="L33" s="336"/>
      <c r="M33" s="336"/>
      <c r="N33" s="336"/>
      <c r="O33" s="336"/>
      <c r="P33" s="336"/>
      <c r="Q33" s="336"/>
      <c r="S33" s="74"/>
      <c r="T33" s="74"/>
      <c r="U33" s="74"/>
      <c r="V33" s="74"/>
      <c r="W33" s="74"/>
      <c r="X33" s="74"/>
      <c r="Y33" s="74"/>
      <c r="Z33" s="74"/>
    </row>
    <row r="34" spans="1:43" x14ac:dyDescent="0.35">
      <c r="A34" s="3"/>
      <c r="B34" s="23"/>
      <c r="C34" s="116"/>
      <c r="D34" s="117"/>
      <c r="E34" s="117"/>
      <c r="F34" s="117"/>
      <c r="G34" s="117"/>
      <c r="H34" s="117"/>
      <c r="I34" s="117"/>
      <c r="J34" s="117"/>
      <c r="K34" s="117"/>
      <c r="L34" s="117"/>
      <c r="M34" s="117"/>
      <c r="N34" s="117"/>
      <c r="O34" s="117"/>
      <c r="P34" s="117"/>
      <c r="Q34" s="118"/>
      <c r="S34" s="74"/>
      <c r="T34" s="74"/>
      <c r="U34" s="74"/>
      <c r="V34" s="74"/>
      <c r="W34" s="74"/>
      <c r="X34" s="74"/>
      <c r="Y34" s="74"/>
      <c r="Z34" s="75"/>
      <c r="AA34" s="75"/>
      <c r="AB34" s="75"/>
    </row>
    <row r="35" spans="1:43" ht="15.75" customHeight="1" x14ac:dyDescent="0.35">
      <c r="A35" s="227" t="s">
        <v>56</v>
      </c>
      <c r="B35" s="275" t="s">
        <v>57</v>
      </c>
      <c r="C35" s="215" t="s">
        <v>736</v>
      </c>
      <c r="D35" s="216"/>
      <c r="E35" s="216"/>
      <c r="F35" s="216"/>
      <c r="G35" s="216"/>
      <c r="H35" s="216"/>
      <c r="I35" s="216"/>
      <c r="J35" s="216"/>
      <c r="K35" s="216"/>
      <c r="L35" s="216"/>
      <c r="M35" s="216"/>
      <c r="N35" s="216"/>
      <c r="O35" s="216"/>
      <c r="P35" s="216"/>
      <c r="Q35" s="217"/>
      <c r="S35" t="s">
        <v>58</v>
      </c>
      <c r="T35" s="23"/>
      <c r="AF35" s="264" t="s">
        <v>59</v>
      </c>
      <c r="AG35" s="264"/>
      <c r="AH35" s="264"/>
      <c r="AI35" s="264"/>
      <c r="AJ35" s="264"/>
      <c r="AK35" s="264"/>
      <c r="AL35" s="264"/>
      <c r="AM35" s="264"/>
      <c r="AN35" s="264"/>
      <c r="AO35" s="264"/>
      <c r="AP35" s="264"/>
      <c r="AQ35" s="264"/>
    </row>
    <row r="36" spans="1:43" ht="20.25" customHeight="1" x14ac:dyDescent="0.35">
      <c r="A36" s="228"/>
      <c r="B36" s="276"/>
      <c r="C36" s="218"/>
      <c r="D36" s="219"/>
      <c r="E36" s="219"/>
      <c r="F36" s="219"/>
      <c r="G36" s="219"/>
      <c r="H36" s="219"/>
      <c r="I36" s="219"/>
      <c r="J36" s="219"/>
      <c r="K36" s="219"/>
      <c r="L36" s="219"/>
      <c r="M36" s="219"/>
      <c r="N36" s="219"/>
      <c r="O36" s="219"/>
      <c r="P36" s="219"/>
      <c r="Q36" s="220"/>
      <c r="S36" s="213" t="s">
        <v>60</v>
      </c>
      <c r="T36" s="69" t="s">
        <v>61</v>
      </c>
      <c r="U36" s="69" t="s">
        <v>62</v>
      </c>
      <c r="V36" s="69" t="s">
        <v>63</v>
      </c>
      <c r="W36" s="69" t="s">
        <v>64</v>
      </c>
      <c r="X36" s="69" t="s">
        <v>65</v>
      </c>
      <c r="Y36" s="69" t="s">
        <v>66</v>
      </c>
      <c r="Z36" s="69" t="s">
        <v>67</v>
      </c>
      <c r="AA36" s="69" t="s">
        <v>68</v>
      </c>
      <c r="AB36" s="69" t="s">
        <v>69</v>
      </c>
      <c r="AC36" s="243" t="s">
        <v>70</v>
      </c>
      <c r="AD36" s="244"/>
      <c r="AF36" s="273" t="s">
        <v>60</v>
      </c>
      <c r="AG36" s="69" t="s">
        <v>61</v>
      </c>
      <c r="AH36" s="69" t="s">
        <v>62</v>
      </c>
      <c r="AI36" s="69" t="s">
        <v>63</v>
      </c>
      <c r="AJ36" s="69" t="s">
        <v>64</v>
      </c>
      <c r="AK36" s="69" t="s">
        <v>65</v>
      </c>
      <c r="AL36" s="69" t="s">
        <v>66</v>
      </c>
      <c r="AM36" s="69" t="s">
        <v>67</v>
      </c>
      <c r="AN36" s="69" t="s">
        <v>68</v>
      </c>
      <c r="AO36" s="69" t="s">
        <v>69</v>
      </c>
      <c r="AP36" s="243" t="s">
        <v>70</v>
      </c>
      <c r="AQ36" s="244"/>
    </row>
    <row r="37" spans="1:43" ht="25.5" customHeight="1" x14ac:dyDescent="0.35">
      <c r="A37" s="228"/>
      <c r="B37" s="277"/>
      <c r="C37" s="221"/>
      <c r="D37" s="222"/>
      <c r="E37" s="222"/>
      <c r="F37" s="222"/>
      <c r="G37" s="222"/>
      <c r="H37" s="222"/>
      <c r="I37" s="222"/>
      <c r="J37" s="222"/>
      <c r="K37" s="222"/>
      <c r="L37" s="222"/>
      <c r="M37" s="222"/>
      <c r="N37" s="222"/>
      <c r="O37" s="222"/>
      <c r="P37" s="222"/>
      <c r="Q37" s="223"/>
      <c r="S37" s="214"/>
      <c r="T37" s="80" t="s">
        <v>71</v>
      </c>
      <c r="U37" s="80" t="s">
        <v>72</v>
      </c>
      <c r="V37" s="80" t="s">
        <v>73</v>
      </c>
      <c r="W37" s="80" t="s">
        <v>74</v>
      </c>
      <c r="X37" s="80" t="s">
        <v>75</v>
      </c>
      <c r="Y37" s="80" t="s">
        <v>76</v>
      </c>
      <c r="Z37" s="80" t="s">
        <v>77</v>
      </c>
      <c r="AA37" s="80" t="s">
        <v>78</v>
      </c>
      <c r="AB37" s="80" t="s">
        <v>79</v>
      </c>
      <c r="AC37" s="245" t="s">
        <v>80</v>
      </c>
      <c r="AD37" s="246"/>
      <c r="AE37" s="112" t="s">
        <v>81</v>
      </c>
      <c r="AF37" s="274"/>
      <c r="AG37" s="80" t="s">
        <v>71</v>
      </c>
      <c r="AH37" s="80" t="s">
        <v>72</v>
      </c>
      <c r="AI37" s="80" t="s">
        <v>73</v>
      </c>
      <c r="AJ37" s="80" t="s">
        <v>74</v>
      </c>
      <c r="AK37" s="80" t="s">
        <v>75</v>
      </c>
      <c r="AL37" s="80" t="s">
        <v>76</v>
      </c>
      <c r="AM37" s="80" t="s">
        <v>77</v>
      </c>
      <c r="AN37" s="80" t="s">
        <v>78</v>
      </c>
      <c r="AO37" s="80" t="s">
        <v>79</v>
      </c>
      <c r="AP37" s="245" t="s">
        <v>82</v>
      </c>
      <c r="AQ37" s="246"/>
    </row>
    <row r="38" spans="1:43" ht="15.75" customHeight="1" x14ac:dyDescent="0.35">
      <c r="A38" s="228"/>
      <c r="B38" s="233" t="s">
        <v>83</v>
      </c>
      <c r="C38" s="215" t="s">
        <v>737</v>
      </c>
      <c r="D38" s="216"/>
      <c r="E38" s="216"/>
      <c r="F38" s="216"/>
      <c r="G38" s="216"/>
      <c r="H38" s="216"/>
      <c r="I38" s="216"/>
      <c r="J38" s="216"/>
      <c r="K38" s="216"/>
      <c r="L38" s="216"/>
      <c r="M38" s="216"/>
      <c r="N38" s="216"/>
      <c r="O38" s="216"/>
      <c r="P38" s="216"/>
      <c r="Q38" s="217"/>
      <c r="S38" s="76" t="s">
        <v>84</v>
      </c>
      <c r="T38" s="77">
        <v>100</v>
      </c>
      <c r="U38" s="77" t="s">
        <v>25</v>
      </c>
      <c r="V38" s="77" t="s">
        <v>25</v>
      </c>
      <c r="W38" s="77">
        <v>50</v>
      </c>
      <c r="X38" s="77">
        <v>200</v>
      </c>
      <c r="Y38" s="77">
        <v>5000</v>
      </c>
      <c r="Z38" s="77">
        <v>50</v>
      </c>
      <c r="AA38" s="77">
        <v>50</v>
      </c>
      <c r="AB38" s="77">
        <v>5</v>
      </c>
      <c r="AC38" s="247" t="s">
        <v>25</v>
      </c>
      <c r="AD38" s="248"/>
      <c r="AF38" s="76" t="s">
        <v>85</v>
      </c>
      <c r="AG38" s="77">
        <v>131</v>
      </c>
      <c r="AH38" s="77" t="s">
        <v>25</v>
      </c>
      <c r="AI38" s="77" t="s">
        <v>25</v>
      </c>
      <c r="AJ38" s="77">
        <v>120</v>
      </c>
      <c r="AK38" s="77">
        <v>1060</v>
      </c>
      <c r="AL38" s="77">
        <v>10000</v>
      </c>
      <c r="AM38" s="77">
        <v>146</v>
      </c>
      <c r="AN38" s="77">
        <v>90</v>
      </c>
      <c r="AO38" s="77">
        <v>4</v>
      </c>
      <c r="AP38" s="247">
        <v>37</v>
      </c>
      <c r="AQ38" s="248"/>
    </row>
    <row r="39" spans="1:43" ht="15.75" customHeight="1" x14ac:dyDescent="0.35">
      <c r="A39" s="228"/>
      <c r="B39" s="234"/>
      <c r="C39" s="218"/>
      <c r="D39" s="219"/>
      <c r="E39" s="219"/>
      <c r="F39" s="219"/>
      <c r="G39" s="219"/>
      <c r="H39" s="219"/>
      <c r="I39" s="219"/>
      <c r="J39" s="219"/>
      <c r="K39" s="219"/>
      <c r="L39" s="219"/>
      <c r="M39" s="219"/>
      <c r="N39" s="219"/>
      <c r="O39" s="219"/>
      <c r="P39" s="219"/>
      <c r="Q39" s="220"/>
      <c r="S39" s="79" t="s">
        <v>85</v>
      </c>
      <c r="T39" s="78">
        <v>150</v>
      </c>
      <c r="U39" s="78" t="s">
        <v>25</v>
      </c>
      <c r="V39" s="78" t="s">
        <v>25</v>
      </c>
      <c r="W39" s="78">
        <v>130</v>
      </c>
      <c r="X39" s="78">
        <v>600</v>
      </c>
      <c r="Y39" s="78">
        <v>14000</v>
      </c>
      <c r="Z39" s="78">
        <v>280</v>
      </c>
      <c r="AA39" s="78">
        <v>90</v>
      </c>
      <c r="AB39" s="78">
        <v>20</v>
      </c>
      <c r="AC39" s="265">
        <v>280</v>
      </c>
      <c r="AD39" s="266"/>
    </row>
    <row r="40" spans="1:43" ht="15.75" customHeight="1" x14ac:dyDescent="0.35">
      <c r="A40" s="228"/>
      <c r="B40" s="235"/>
      <c r="C40" s="221"/>
      <c r="D40" s="222"/>
      <c r="E40" s="222"/>
      <c r="F40" s="222"/>
      <c r="G40" s="222"/>
      <c r="H40" s="222"/>
      <c r="I40" s="222"/>
      <c r="J40" s="222"/>
      <c r="K40" s="222"/>
      <c r="L40" s="222"/>
      <c r="M40" s="222"/>
      <c r="N40" s="222"/>
      <c r="O40" s="222"/>
      <c r="P40" s="222"/>
      <c r="Q40" s="223"/>
      <c r="S40" s="83" t="s">
        <v>86</v>
      </c>
      <c r="T40" s="84">
        <v>200</v>
      </c>
      <c r="U40" s="84" t="s">
        <v>25</v>
      </c>
      <c r="V40" s="84" t="s">
        <v>25</v>
      </c>
      <c r="W40" s="84">
        <v>150</v>
      </c>
      <c r="X40" s="84">
        <v>800</v>
      </c>
      <c r="Y40" s="84">
        <v>6000</v>
      </c>
      <c r="Z40" s="84">
        <v>200</v>
      </c>
      <c r="AA40" s="84">
        <v>150</v>
      </c>
      <c r="AB40" s="84" t="s">
        <v>87</v>
      </c>
      <c r="AC40" s="271" t="s">
        <v>25</v>
      </c>
      <c r="AD40" s="272"/>
    </row>
    <row r="41" spans="1:43" ht="15.75" customHeight="1" x14ac:dyDescent="0.35">
      <c r="A41" s="228"/>
      <c r="B41" s="230" t="s">
        <v>88</v>
      </c>
      <c r="C41" s="215" t="s">
        <v>738</v>
      </c>
      <c r="D41" s="216"/>
      <c r="E41" s="216"/>
      <c r="F41" s="216"/>
      <c r="G41" s="216"/>
      <c r="H41" s="216"/>
      <c r="I41" s="216"/>
      <c r="J41" s="216"/>
      <c r="K41" s="216"/>
      <c r="L41" s="216"/>
      <c r="M41" s="216"/>
      <c r="N41" s="216"/>
      <c r="O41" s="216"/>
      <c r="P41" s="216"/>
      <c r="Q41" s="217"/>
      <c r="S41" s="85" t="s">
        <v>89</v>
      </c>
      <c r="T41" s="86">
        <v>300</v>
      </c>
      <c r="U41" s="86" t="s">
        <v>25</v>
      </c>
      <c r="V41" s="86" t="s">
        <v>25</v>
      </c>
      <c r="W41" s="86">
        <v>120</v>
      </c>
      <c r="X41" s="86">
        <v>1100</v>
      </c>
      <c r="Y41" s="86">
        <v>4000</v>
      </c>
      <c r="Z41" s="86">
        <v>40</v>
      </c>
      <c r="AA41" s="86">
        <v>130</v>
      </c>
      <c r="AB41" s="86">
        <v>5</v>
      </c>
      <c r="AC41" s="267" t="s">
        <v>25</v>
      </c>
      <c r="AD41" s="268"/>
    </row>
    <row r="42" spans="1:43" ht="15" customHeight="1" x14ac:dyDescent="0.35">
      <c r="A42" s="228"/>
      <c r="B42" s="231"/>
      <c r="C42" s="218"/>
      <c r="D42" s="219"/>
      <c r="E42" s="219"/>
      <c r="F42" s="219"/>
      <c r="G42" s="219"/>
      <c r="H42" s="219"/>
      <c r="I42" s="219"/>
      <c r="J42" s="219"/>
      <c r="K42" s="219"/>
      <c r="L42" s="219"/>
      <c r="M42" s="219"/>
      <c r="N42" s="219"/>
      <c r="O42" s="219"/>
      <c r="P42" s="219"/>
      <c r="Q42" s="220"/>
      <c r="S42" s="85" t="s">
        <v>90</v>
      </c>
      <c r="T42" s="86">
        <v>1000</v>
      </c>
      <c r="U42" s="86" t="s">
        <v>25</v>
      </c>
      <c r="V42" s="86" t="s">
        <v>25</v>
      </c>
      <c r="W42" s="86" t="s">
        <v>25</v>
      </c>
      <c r="X42" s="86" t="s">
        <v>25</v>
      </c>
      <c r="Y42" s="86" t="s">
        <v>25</v>
      </c>
      <c r="Z42" s="86">
        <v>30</v>
      </c>
      <c r="AA42" s="86" t="s">
        <v>25</v>
      </c>
      <c r="AB42" s="86">
        <v>16</v>
      </c>
      <c r="AC42" s="267" t="s">
        <v>25</v>
      </c>
      <c r="AD42" s="268"/>
      <c r="AF42" t="s">
        <v>91</v>
      </c>
    </row>
    <row r="43" spans="1:43" ht="20.25" customHeight="1" x14ac:dyDescent="0.35">
      <c r="A43" s="229"/>
      <c r="B43" s="232"/>
      <c r="C43" s="221"/>
      <c r="D43" s="222"/>
      <c r="E43" s="222"/>
      <c r="F43" s="222"/>
      <c r="G43" s="222"/>
      <c r="H43" s="222"/>
      <c r="I43" s="222"/>
      <c r="J43" s="222"/>
      <c r="K43" s="222"/>
      <c r="L43" s="222"/>
      <c r="M43" s="222"/>
      <c r="N43" s="222"/>
      <c r="O43" s="222"/>
      <c r="P43" s="222"/>
      <c r="Q43" s="223"/>
      <c r="S43" s="87" t="s">
        <v>92</v>
      </c>
      <c r="T43" s="86">
        <v>300</v>
      </c>
      <c r="U43" s="86" t="s">
        <v>25</v>
      </c>
      <c r="V43" s="86" t="s">
        <v>25</v>
      </c>
      <c r="W43" s="86">
        <v>30</v>
      </c>
      <c r="X43" s="86">
        <v>300</v>
      </c>
      <c r="Y43" s="86">
        <v>900</v>
      </c>
      <c r="Z43" s="86">
        <v>10</v>
      </c>
      <c r="AA43" s="86">
        <v>50</v>
      </c>
      <c r="AB43" s="86">
        <v>2</v>
      </c>
      <c r="AC43" s="267" t="s">
        <v>25</v>
      </c>
      <c r="AD43" s="268"/>
      <c r="AF43" s="14"/>
      <c r="AG43" s="262" t="s">
        <v>93</v>
      </c>
      <c r="AH43" s="262"/>
      <c r="AI43" s="262" t="s">
        <v>94</v>
      </c>
      <c r="AJ43" s="262"/>
    </row>
    <row r="44" spans="1:43" ht="15.75" customHeight="1" x14ac:dyDescent="0.35">
      <c r="A44" s="313" t="s">
        <v>95</v>
      </c>
      <c r="B44" s="314"/>
      <c r="C44" s="215" t="s">
        <v>739</v>
      </c>
      <c r="D44" s="216"/>
      <c r="E44" s="216"/>
      <c r="F44" s="216"/>
      <c r="G44" s="216"/>
      <c r="H44" s="216"/>
      <c r="I44" s="216"/>
      <c r="J44" s="216"/>
      <c r="K44" s="216"/>
      <c r="L44" s="216"/>
      <c r="M44" s="216"/>
      <c r="N44" s="216"/>
      <c r="O44" s="216"/>
      <c r="P44" s="216"/>
      <c r="Q44" s="217"/>
      <c r="S44" s="87" t="s">
        <v>96</v>
      </c>
      <c r="T44" s="86">
        <v>392</v>
      </c>
      <c r="U44" s="86" t="s">
        <v>25</v>
      </c>
      <c r="V44" s="86" t="s">
        <v>25</v>
      </c>
      <c r="W44" s="86">
        <v>216</v>
      </c>
      <c r="X44" s="86">
        <v>927</v>
      </c>
      <c r="Y44" s="86">
        <v>11578</v>
      </c>
      <c r="Z44" s="86">
        <v>70</v>
      </c>
      <c r="AA44" s="86">
        <v>121</v>
      </c>
      <c r="AB44" s="86">
        <v>5</v>
      </c>
      <c r="AC44" s="267" t="s">
        <v>25</v>
      </c>
      <c r="AD44" s="268"/>
      <c r="AF44" s="14" t="s">
        <v>97</v>
      </c>
      <c r="AG44" s="14" t="s">
        <v>98</v>
      </c>
      <c r="AH44" s="14" t="s">
        <v>99</v>
      </c>
      <c r="AI44" s="14" t="s">
        <v>98</v>
      </c>
      <c r="AJ44" s="14" t="s">
        <v>99</v>
      </c>
    </row>
    <row r="45" spans="1:43" ht="15.75" customHeight="1" x14ac:dyDescent="0.35">
      <c r="A45" s="315"/>
      <c r="B45" s="316"/>
      <c r="C45" s="218"/>
      <c r="D45" s="219"/>
      <c r="E45" s="219"/>
      <c r="F45" s="219"/>
      <c r="G45" s="219"/>
      <c r="H45" s="219"/>
      <c r="I45" s="219"/>
      <c r="J45" s="219"/>
      <c r="K45" s="219"/>
      <c r="L45" s="219"/>
      <c r="M45" s="219"/>
      <c r="N45" s="219"/>
      <c r="O45" s="219"/>
      <c r="P45" s="219"/>
      <c r="Q45" s="220"/>
      <c r="S45" s="87" t="s">
        <v>100</v>
      </c>
      <c r="T45" s="86">
        <v>500</v>
      </c>
      <c r="U45" s="86" t="s">
        <v>25</v>
      </c>
      <c r="V45" s="86" t="s">
        <v>25</v>
      </c>
      <c r="W45" s="86">
        <v>30</v>
      </c>
      <c r="X45" s="86">
        <v>100</v>
      </c>
      <c r="Y45" s="86">
        <v>500</v>
      </c>
      <c r="Z45" s="86">
        <v>20</v>
      </c>
      <c r="AA45" s="86">
        <v>25</v>
      </c>
      <c r="AB45" s="86">
        <v>10</v>
      </c>
      <c r="AC45" s="267" t="s">
        <v>25</v>
      </c>
      <c r="AD45" s="268"/>
      <c r="AF45" s="14" t="s">
        <v>101</v>
      </c>
      <c r="AG45" s="134">
        <v>0.63</v>
      </c>
      <c r="AH45" s="130">
        <v>0.87</v>
      </c>
      <c r="AI45" s="130">
        <v>0.42</v>
      </c>
      <c r="AJ45" s="130">
        <v>0.56999999999999995</v>
      </c>
    </row>
    <row r="46" spans="1:43" ht="15.75" customHeight="1" x14ac:dyDescent="0.35">
      <c r="A46" s="315"/>
      <c r="B46" s="316"/>
      <c r="C46" s="218"/>
      <c r="D46" s="219"/>
      <c r="E46" s="219"/>
      <c r="F46" s="219"/>
      <c r="G46" s="219"/>
      <c r="H46" s="219"/>
      <c r="I46" s="219"/>
      <c r="J46" s="219"/>
      <c r="K46" s="219"/>
      <c r="L46" s="219"/>
      <c r="M46" s="219"/>
      <c r="N46" s="219"/>
      <c r="O46" s="219"/>
      <c r="P46" s="219"/>
      <c r="Q46" s="220"/>
      <c r="S46" s="87" t="s">
        <v>102</v>
      </c>
      <c r="T46" s="86" t="s">
        <v>25</v>
      </c>
      <c r="U46" s="86" t="s">
        <v>25</v>
      </c>
      <c r="V46" s="86" t="s">
        <v>25</v>
      </c>
      <c r="W46" s="86" t="s">
        <v>25</v>
      </c>
      <c r="X46" s="86" t="s">
        <v>25</v>
      </c>
      <c r="Y46" s="86" t="s">
        <v>25</v>
      </c>
      <c r="Z46" s="86" t="s">
        <v>25</v>
      </c>
      <c r="AA46" s="86" t="s">
        <v>25</v>
      </c>
      <c r="AB46" s="86" t="s">
        <v>25</v>
      </c>
      <c r="AC46" s="267" t="s">
        <v>25</v>
      </c>
      <c r="AD46" s="268"/>
      <c r="AF46" s="14" t="s">
        <v>103</v>
      </c>
      <c r="AG46" s="134">
        <v>1.51</v>
      </c>
      <c r="AH46" s="130">
        <v>2.33</v>
      </c>
      <c r="AI46" s="130">
        <v>0.63</v>
      </c>
      <c r="AJ46" s="130">
        <v>0.87</v>
      </c>
    </row>
    <row r="47" spans="1:43" ht="15.75" customHeight="1" x14ac:dyDescent="0.35">
      <c r="A47" s="317"/>
      <c r="B47" s="318"/>
      <c r="C47" s="221"/>
      <c r="D47" s="222"/>
      <c r="E47" s="222"/>
      <c r="F47" s="222"/>
      <c r="G47" s="222"/>
      <c r="H47" s="222"/>
      <c r="I47" s="222"/>
      <c r="J47" s="222"/>
      <c r="K47" s="222"/>
      <c r="L47" s="222"/>
      <c r="M47" s="222"/>
      <c r="N47" s="222"/>
      <c r="O47" s="222"/>
      <c r="P47" s="222"/>
      <c r="Q47" s="223"/>
      <c r="S47" s="88" t="s">
        <v>104</v>
      </c>
      <c r="T47" s="89" t="s">
        <v>25</v>
      </c>
      <c r="U47" s="89" t="s">
        <v>25</v>
      </c>
      <c r="V47" s="89" t="s">
        <v>25</v>
      </c>
      <c r="W47" s="89" t="s">
        <v>25</v>
      </c>
      <c r="X47" s="89" t="s">
        <v>25</v>
      </c>
      <c r="Y47" s="89" t="s">
        <v>25</v>
      </c>
      <c r="Z47" s="89" t="s">
        <v>25</v>
      </c>
      <c r="AA47" s="89" t="s">
        <v>25</v>
      </c>
      <c r="AB47" s="89" t="s">
        <v>25</v>
      </c>
      <c r="AC47" s="269" t="s">
        <v>25</v>
      </c>
      <c r="AD47" s="270"/>
      <c r="AF47" s="14" t="s">
        <v>74</v>
      </c>
      <c r="AG47" s="134" t="s">
        <v>105</v>
      </c>
      <c r="AH47" s="14"/>
      <c r="AI47" s="130" t="s">
        <v>106</v>
      </c>
      <c r="AJ47" s="130"/>
    </row>
    <row r="48" spans="1:43" ht="11.25" customHeight="1" x14ac:dyDescent="0.35">
      <c r="A48" s="81"/>
      <c r="B48" s="82"/>
      <c r="C48" s="127"/>
      <c r="D48" s="128"/>
      <c r="E48" s="128"/>
      <c r="F48" s="128"/>
      <c r="G48" s="128"/>
      <c r="H48" s="128"/>
      <c r="I48" s="128"/>
      <c r="J48" s="128"/>
      <c r="K48" s="128"/>
      <c r="L48" s="128"/>
      <c r="M48" s="128"/>
      <c r="N48" s="128"/>
      <c r="O48" s="128"/>
      <c r="P48" s="128"/>
      <c r="Q48" s="129"/>
      <c r="AF48" s="14" t="s">
        <v>77</v>
      </c>
      <c r="AG48" s="134" t="s">
        <v>107</v>
      </c>
      <c r="AH48" s="14"/>
      <c r="AI48" s="130" t="s">
        <v>108</v>
      </c>
      <c r="AJ48" s="130"/>
    </row>
    <row r="49" spans="1:36" ht="15.75" customHeight="1" x14ac:dyDescent="0.35">
      <c r="A49" s="319" t="s">
        <v>104</v>
      </c>
      <c r="B49" s="319"/>
      <c r="C49" s="321" t="s">
        <v>740</v>
      </c>
      <c r="D49" s="321"/>
      <c r="E49" s="321"/>
      <c r="F49" s="321"/>
      <c r="G49" s="321"/>
      <c r="H49" s="321"/>
      <c r="I49" s="321"/>
      <c r="J49" s="321"/>
      <c r="K49" s="321"/>
      <c r="L49" s="321"/>
      <c r="M49" s="321"/>
      <c r="N49" s="321"/>
      <c r="O49" s="321"/>
      <c r="P49" s="321"/>
      <c r="Q49" s="321"/>
      <c r="AF49" s="14" t="s">
        <v>79</v>
      </c>
      <c r="AG49" s="134" t="s">
        <v>109</v>
      </c>
      <c r="AH49" s="14"/>
      <c r="AI49" s="130" t="s">
        <v>110</v>
      </c>
      <c r="AJ49" s="130"/>
    </row>
    <row r="50" spans="1:36" ht="15.75" customHeight="1" x14ac:dyDescent="0.35">
      <c r="A50" s="320"/>
      <c r="B50" s="320"/>
      <c r="C50" s="322"/>
      <c r="D50" s="322"/>
      <c r="E50" s="322"/>
      <c r="F50" s="322"/>
      <c r="G50" s="322"/>
      <c r="H50" s="322"/>
      <c r="I50" s="322"/>
      <c r="J50" s="322"/>
      <c r="K50" s="322"/>
      <c r="L50" s="322"/>
      <c r="M50" s="322"/>
      <c r="N50" s="322"/>
      <c r="O50" s="322"/>
      <c r="P50" s="322"/>
      <c r="Q50" s="322"/>
      <c r="AF50" s="14" t="s">
        <v>111</v>
      </c>
      <c r="AG50" s="134" t="s">
        <v>112</v>
      </c>
      <c r="AH50" s="14"/>
      <c r="AI50" s="130" t="s">
        <v>113</v>
      </c>
      <c r="AJ50" s="130"/>
    </row>
    <row r="51" spans="1:36" ht="17.25" customHeight="1" x14ac:dyDescent="0.35">
      <c r="A51" s="138"/>
      <c r="B51" s="62"/>
      <c r="C51" s="61"/>
      <c r="D51" s="61"/>
      <c r="E51" s="61"/>
      <c r="F51" s="61"/>
      <c r="G51" s="61"/>
      <c r="H51" s="61"/>
      <c r="I51" s="61"/>
      <c r="J51" s="61"/>
      <c r="K51" s="61"/>
      <c r="L51" s="61"/>
      <c r="M51" s="61"/>
      <c r="N51" s="61"/>
      <c r="O51" s="61"/>
      <c r="P51" s="61"/>
      <c r="Q51" s="61"/>
      <c r="AF51" s="14" t="s">
        <v>114</v>
      </c>
      <c r="AG51" s="14"/>
      <c r="AH51" s="14"/>
      <c r="AI51" s="14"/>
      <c r="AJ51" s="14"/>
    </row>
    <row r="52" spans="1:36" ht="21.5" customHeight="1" x14ac:dyDescent="0.35">
      <c r="A52" s="339" t="s">
        <v>115</v>
      </c>
      <c r="B52" s="262" t="s">
        <v>116</v>
      </c>
      <c r="C52" s="194" t="s">
        <v>735</v>
      </c>
      <c r="D52" s="194"/>
      <c r="E52" s="194"/>
      <c r="F52" s="194"/>
      <c r="G52" s="194"/>
      <c r="H52" s="194"/>
      <c r="I52" s="194"/>
      <c r="J52" s="194"/>
      <c r="K52" s="194"/>
      <c r="L52" s="194"/>
      <c r="M52" s="194"/>
      <c r="N52" s="194"/>
      <c r="O52" s="194"/>
      <c r="P52" s="194"/>
      <c r="Q52" s="194"/>
    </row>
    <row r="53" spans="1:36" ht="56" customHeight="1" x14ac:dyDescent="0.35">
      <c r="A53" s="339"/>
      <c r="B53" s="262"/>
      <c r="C53" s="194"/>
      <c r="D53" s="194"/>
      <c r="E53" s="194"/>
      <c r="F53" s="194"/>
      <c r="G53" s="194"/>
      <c r="H53" s="194"/>
      <c r="I53" s="194"/>
      <c r="J53" s="194"/>
      <c r="K53" s="194"/>
      <c r="L53" s="194"/>
      <c r="M53" s="194"/>
      <c r="N53" s="194"/>
      <c r="O53" s="194"/>
      <c r="P53" s="194"/>
      <c r="Q53" s="194"/>
    </row>
    <row r="54" spans="1:36" ht="27" customHeight="1" x14ac:dyDescent="0.35">
      <c r="A54" s="339"/>
      <c r="B54" s="338" t="s">
        <v>117</v>
      </c>
      <c r="C54" s="192" t="s">
        <v>734</v>
      </c>
      <c r="D54" s="192"/>
      <c r="E54" s="192"/>
      <c r="F54" s="192"/>
      <c r="G54" s="192"/>
      <c r="H54" s="192"/>
      <c r="I54" s="192"/>
      <c r="J54" s="192"/>
      <c r="K54" s="192"/>
      <c r="L54" s="192"/>
      <c r="M54" s="192"/>
      <c r="N54" s="192"/>
      <c r="O54" s="192"/>
      <c r="P54" s="192"/>
      <c r="Q54" s="192"/>
    </row>
    <row r="55" spans="1:36" ht="59.5" customHeight="1" x14ac:dyDescent="0.35">
      <c r="A55" s="339"/>
      <c r="B55" s="262"/>
      <c r="C55" s="192"/>
      <c r="D55" s="192"/>
      <c r="E55" s="192"/>
      <c r="F55" s="192"/>
      <c r="G55" s="192"/>
      <c r="H55" s="192"/>
      <c r="I55" s="192"/>
      <c r="J55" s="192"/>
      <c r="K55" s="192"/>
      <c r="L55" s="192"/>
      <c r="M55" s="192"/>
      <c r="N55" s="192"/>
      <c r="O55" s="192"/>
      <c r="P55" s="192"/>
      <c r="Q55" s="192"/>
    </row>
    <row r="56" spans="1:36" ht="15" customHeight="1" x14ac:dyDescent="0.35">
      <c r="A56" s="180"/>
      <c r="B56" s="23"/>
      <c r="C56" s="192"/>
      <c r="D56" s="192"/>
      <c r="E56" s="192"/>
      <c r="F56" s="192"/>
      <c r="G56" s="192"/>
      <c r="H56" s="192"/>
      <c r="I56" s="192"/>
      <c r="J56" s="192"/>
      <c r="K56" s="192"/>
      <c r="L56" s="192"/>
      <c r="M56" s="192"/>
      <c r="N56" s="192"/>
      <c r="O56" s="192"/>
      <c r="P56" s="192"/>
      <c r="Q56" s="192"/>
    </row>
    <row r="57" spans="1:36" ht="15" customHeight="1" x14ac:dyDescent="0.35">
      <c r="A57" s="180"/>
      <c r="B57" s="23"/>
      <c r="C57" s="192"/>
      <c r="D57" s="192"/>
      <c r="E57" s="192"/>
      <c r="F57" s="192"/>
      <c r="G57" s="192"/>
      <c r="H57" s="192"/>
      <c r="I57" s="192"/>
      <c r="J57" s="192"/>
      <c r="K57" s="192"/>
      <c r="L57" s="192"/>
      <c r="M57" s="192"/>
      <c r="N57" s="192"/>
      <c r="O57" s="192"/>
      <c r="P57" s="192"/>
      <c r="Q57" s="192"/>
    </row>
    <row r="58" spans="1:36" x14ac:dyDescent="0.35">
      <c r="B58" s="23"/>
      <c r="C58" s="192"/>
      <c r="D58" s="192"/>
      <c r="E58" s="192"/>
      <c r="F58" s="192"/>
      <c r="G58" s="192"/>
      <c r="H58" s="192"/>
      <c r="I58" s="192"/>
      <c r="J58" s="192"/>
      <c r="K58" s="192"/>
      <c r="L58" s="192"/>
      <c r="M58" s="192"/>
      <c r="N58" s="192"/>
      <c r="O58" s="192"/>
      <c r="P58" s="192"/>
      <c r="Q58" s="192"/>
    </row>
    <row r="59" spans="1:36" x14ac:dyDescent="0.35">
      <c r="A59" s="340" t="s">
        <v>118</v>
      </c>
      <c r="B59" s="341"/>
      <c r="C59" s="341"/>
      <c r="D59" s="341"/>
      <c r="E59" s="341"/>
      <c r="F59" s="341"/>
      <c r="G59" s="341"/>
      <c r="H59" s="341"/>
      <c r="I59" s="341"/>
      <c r="J59" s="341"/>
      <c r="K59" s="341"/>
      <c r="L59" s="341"/>
      <c r="M59" s="341"/>
      <c r="N59" s="341"/>
      <c r="O59" s="341"/>
      <c r="P59" s="341"/>
      <c r="Q59" s="342"/>
    </row>
    <row r="60" spans="1:36" ht="21.75" customHeight="1" x14ac:dyDescent="0.35">
      <c r="A60" s="195" t="s">
        <v>119</v>
      </c>
      <c r="B60" s="195"/>
      <c r="C60" s="195" t="s">
        <v>120</v>
      </c>
      <c r="D60" s="195"/>
      <c r="E60" s="195"/>
      <c r="F60" s="195"/>
      <c r="G60" s="195"/>
      <c r="H60" s="195"/>
      <c r="I60" s="195"/>
      <c r="J60" s="195"/>
      <c r="K60" s="195"/>
      <c r="L60" s="195"/>
      <c r="M60" s="195"/>
      <c r="N60" s="195"/>
      <c r="O60" s="195"/>
      <c r="P60" s="195"/>
      <c r="Q60" s="195"/>
      <c r="S60" s="18" t="s">
        <v>121</v>
      </c>
    </row>
    <row r="61" spans="1:36" ht="21.75" customHeight="1" x14ac:dyDescent="0.35">
      <c r="A61" s="195" t="s">
        <v>122</v>
      </c>
      <c r="B61" s="195"/>
      <c r="C61" s="195" t="s">
        <v>123</v>
      </c>
      <c r="D61" s="195"/>
      <c r="E61" s="195"/>
      <c r="F61" s="195"/>
      <c r="G61" s="195"/>
      <c r="H61" s="195"/>
      <c r="I61" s="195"/>
      <c r="J61" s="195"/>
      <c r="K61" s="195"/>
      <c r="L61" s="195"/>
      <c r="M61" s="195"/>
      <c r="N61" s="195"/>
      <c r="O61" s="195"/>
      <c r="P61" s="195"/>
      <c r="Q61" s="195"/>
      <c r="S61" s="18" t="s">
        <v>124</v>
      </c>
      <c r="U61" s="19">
        <v>15</v>
      </c>
      <c r="V61" t="s">
        <v>125</v>
      </c>
      <c r="W61" s="19"/>
    </row>
    <row r="62" spans="1:36" ht="21.75" customHeight="1" x14ac:dyDescent="0.4">
      <c r="A62" s="195" t="s">
        <v>126</v>
      </c>
      <c r="B62" s="195"/>
      <c r="C62" s="195" t="s">
        <v>127</v>
      </c>
      <c r="D62" s="195"/>
      <c r="E62" s="195"/>
      <c r="F62" s="195"/>
      <c r="G62" s="195"/>
      <c r="H62" s="195"/>
      <c r="I62" s="195"/>
      <c r="J62" s="195"/>
      <c r="K62" s="195"/>
      <c r="L62" s="195"/>
      <c r="M62" s="195"/>
      <c r="N62" s="195"/>
      <c r="O62" s="195"/>
      <c r="P62" s="195"/>
      <c r="Q62" s="195"/>
      <c r="S62" s="90" t="s">
        <v>128</v>
      </c>
      <c r="T62" s="242">
        <f>(1.51-LOG10(U61/1000))/0.0035</f>
        <v>952.54535455551968</v>
      </c>
      <c r="U62" s="242"/>
      <c r="V62" s="20" t="s">
        <v>129</v>
      </c>
    </row>
    <row r="63" spans="1:36" ht="21.75" customHeight="1" x14ac:dyDescent="0.35">
      <c r="A63" s="195" t="s">
        <v>130</v>
      </c>
      <c r="B63" s="195"/>
      <c r="C63" s="195" t="s">
        <v>131</v>
      </c>
      <c r="D63" s="195"/>
      <c r="E63" s="195"/>
      <c r="F63" s="195"/>
      <c r="G63" s="195"/>
      <c r="H63" s="195"/>
      <c r="I63" s="195"/>
      <c r="J63" s="195"/>
      <c r="K63" s="195"/>
      <c r="L63" s="195"/>
      <c r="M63" s="195"/>
      <c r="N63" s="195"/>
      <c r="O63" s="195"/>
      <c r="P63" s="195"/>
      <c r="Q63" s="195"/>
    </row>
    <row r="64" spans="1:36" ht="21.75" customHeight="1" x14ac:dyDescent="0.35">
      <c r="A64" s="91"/>
      <c r="B64" s="91"/>
      <c r="C64" s="91" t="s">
        <v>132</v>
      </c>
      <c r="D64" s="91"/>
      <c r="E64" s="91"/>
      <c r="F64" s="91"/>
      <c r="G64" s="91"/>
      <c r="H64" s="91"/>
      <c r="I64" s="91"/>
      <c r="J64" s="91"/>
      <c r="K64" s="91"/>
      <c r="L64" s="91"/>
      <c r="M64" s="91"/>
      <c r="N64" s="91"/>
      <c r="O64" s="91"/>
      <c r="P64" s="91"/>
      <c r="Q64" s="91"/>
    </row>
    <row r="65" spans="1:18" x14ac:dyDescent="0.35">
      <c r="B65" s="23"/>
    </row>
    <row r="66" spans="1:18" x14ac:dyDescent="0.35">
      <c r="A66" s="307" t="s">
        <v>133</v>
      </c>
      <c r="B66" s="308"/>
      <c r="C66" s="308"/>
      <c r="D66" s="308"/>
      <c r="E66" s="308"/>
      <c r="F66" s="308"/>
      <c r="G66" s="308"/>
      <c r="H66" s="308"/>
      <c r="I66" s="308"/>
      <c r="J66" s="308"/>
      <c r="K66" s="308"/>
      <c r="L66" s="308"/>
      <c r="M66" s="308"/>
      <c r="N66" s="308"/>
      <c r="O66" s="308"/>
      <c r="P66" s="308"/>
      <c r="Q66" s="309"/>
    </row>
    <row r="67" spans="1:18" ht="15" customHeight="1" x14ac:dyDescent="0.35">
      <c r="A67" s="255" t="s">
        <v>134</v>
      </c>
      <c r="B67" s="255"/>
      <c r="C67" s="192" t="s">
        <v>135</v>
      </c>
      <c r="D67" s="192"/>
      <c r="E67" s="192"/>
      <c r="F67" s="192"/>
      <c r="G67" s="192"/>
      <c r="H67" s="192"/>
      <c r="I67" s="192"/>
      <c r="J67" s="192"/>
      <c r="K67" s="192"/>
      <c r="L67" s="192"/>
      <c r="M67" s="192"/>
      <c r="N67" s="192"/>
      <c r="O67" s="192"/>
      <c r="P67" s="192"/>
      <c r="Q67" s="192"/>
      <c r="R67" s="60"/>
    </row>
    <row r="68" spans="1:18" x14ac:dyDescent="0.35">
      <c r="A68" s="255"/>
      <c r="B68" s="255"/>
      <c r="C68" s="192"/>
      <c r="D68" s="192"/>
      <c r="E68" s="192"/>
      <c r="F68" s="192"/>
      <c r="G68" s="192"/>
      <c r="H68" s="192"/>
      <c r="I68" s="192"/>
      <c r="J68" s="192"/>
      <c r="K68" s="192"/>
      <c r="L68" s="192"/>
      <c r="M68" s="192"/>
      <c r="N68" s="192"/>
      <c r="O68" s="192"/>
      <c r="P68" s="192"/>
      <c r="Q68" s="192"/>
    </row>
    <row r="69" spans="1:18" x14ac:dyDescent="0.35">
      <c r="A69" s="255"/>
      <c r="B69" s="255"/>
      <c r="C69" s="192"/>
      <c r="D69" s="192"/>
      <c r="E69" s="192"/>
      <c r="F69" s="192"/>
      <c r="G69" s="192"/>
      <c r="H69" s="192"/>
      <c r="I69" s="192"/>
      <c r="J69" s="192"/>
      <c r="K69" s="192"/>
      <c r="L69" s="192"/>
      <c r="M69" s="192"/>
      <c r="N69" s="192"/>
      <c r="O69" s="192"/>
      <c r="P69" s="192"/>
      <c r="Q69" s="192"/>
    </row>
    <row r="70" spans="1:18" ht="15" customHeight="1" x14ac:dyDescent="0.35">
      <c r="A70" s="310" t="s">
        <v>136</v>
      </c>
      <c r="B70" s="311"/>
      <c r="C70" s="192" t="s">
        <v>137</v>
      </c>
      <c r="D70" s="192"/>
      <c r="E70" s="192"/>
      <c r="F70" s="192"/>
      <c r="G70" s="192"/>
      <c r="H70" s="192"/>
      <c r="I70" s="192"/>
      <c r="J70" s="192"/>
      <c r="K70" s="192"/>
      <c r="L70" s="192"/>
      <c r="M70" s="192"/>
      <c r="N70" s="192"/>
      <c r="O70" s="192"/>
      <c r="P70" s="192"/>
      <c r="Q70" s="192"/>
      <c r="R70" s="2"/>
    </row>
    <row r="71" spans="1:18" x14ac:dyDescent="0.35">
      <c r="A71" s="310"/>
      <c r="B71" s="311"/>
      <c r="C71" s="192"/>
      <c r="D71" s="192"/>
      <c r="E71" s="192"/>
      <c r="F71" s="192"/>
      <c r="G71" s="192"/>
      <c r="H71" s="192"/>
      <c r="I71" s="192"/>
      <c r="J71" s="192"/>
      <c r="K71" s="192"/>
      <c r="L71" s="192"/>
      <c r="M71" s="192"/>
      <c r="N71" s="192"/>
      <c r="O71" s="192"/>
      <c r="P71" s="192"/>
      <c r="Q71" s="192"/>
      <c r="R71" s="2"/>
    </row>
    <row r="72" spans="1:18" x14ac:dyDescent="0.35">
      <c r="A72" s="310"/>
      <c r="B72" s="311"/>
      <c r="C72" s="192"/>
      <c r="D72" s="192"/>
      <c r="E72" s="192"/>
      <c r="F72" s="192"/>
      <c r="G72" s="192"/>
      <c r="H72" s="192"/>
      <c r="I72" s="192"/>
      <c r="J72" s="192"/>
      <c r="K72" s="192"/>
      <c r="L72" s="192"/>
      <c r="M72" s="192"/>
      <c r="N72" s="192"/>
      <c r="O72" s="192"/>
      <c r="P72" s="192"/>
      <c r="Q72" s="192"/>
      <c r="R72" s="60"/>
    </row>
    <row r="73" spans="1:18" ht="23.25" customHeight="1" x14ac:dyDescent="0.35">
      <c r="A73" s="256" t="s">
        <v>138</v>
      </c>
      <c r="B73" s="251"/>
      <c r="C73" s="257" t="s">
        <v>139</v>
      </c>
      <c r="D73" s="258"/>
      <c r="E73" s="258"/>
      <c r="F73" s="258"/>
      <c r="G73" s="258"/>
      <c r="H73" s="258"/>
      <c r="I73" s="258"/>
      <c r="J73" s="258"/>
      <c r="K73" s="258"/>
      <c r="L73" s="258"/>
      <c r="M73" s="258"/>
      <c r="N73" s="258"/>
      <c r="O73" s="258"/>
      <c r="P73" s="258"/>
      <c r="Q73" s="259"/>
    </row>
    <row r="74" spans="1:18" x14ac:dyDescent="0.35">
      <c r="B74" s="23"/>
    </row>
    <row r="75" spans="1:18" x14ac:dyDescent="0.35">
      <c r="A75" s="261" t="s">
        <v>140</v>
      </c>
      <c r="B75" s="261"/>
      <c r="C75" s="261"/>
      <c r="D75" s="261"/>
      <c r="E75" s="261"/>
      <c r="F75" s="261"/>
      <c r="G75" s="261"/>
      <c r="H75" s="261"/>
      <c r="I75" s="261"/>
      <c r="J75" s="261"/>
      <c r="K75" s="261"/>
      <c r="L75" s="261"/>
      <c r="M75" s="261"/>
      <c r="N75" s="261"/>
      <c r="O75" s="261"/>
      <c r="P75" s="261"/>
      <c r="Q75" s="261"/>
    </row>
    <row r="76" spans="1:18" ht="17.25" customHeight="1" x14ac:dyDescent="0.35">
      <c r="A76" s="262" t="s">
        <v>141</v>
      </c>
      <c r="B76" s="262"/>
      <c r="C76" s="195" t="s">
        <v>142</v>
      </c>
      <c r="D76" s="195"/>
      <c r="E76" s="195"/>
      <c r="F76" s="195"/>
      <c r="G76" s="195"/>
      <c r="H76" s="195"/>
      <c r="I76" s="195"/>
      <c r="J76" s="195"/>
      <c r="K76" s="195"/>
      <c r="L76" s="195"/>
      <c r="M76" s="195"/>
      <c r="N76" s="195"/>
      <c r="O76" s="195"/>
      <c r="P76" s="195"/>
      <c r="Q76" s="195"/>
    </row>
    <row r="77" spans="1:18" ht="17.25" customHeight="1" x14ac:dyDescent="0.35">
      <c r="A77" s="262" t="s">
        <v>143</v>
      </c>
      <c r="B77" s="262"/>
      <c r="C77" s="195" t="s">
        <v>144</v>
      </c>
      <c r="D77" s="195"/>
      <c r="E77" s="195"/>
      <c r="F77" s="195"/>
      <c r="G77" s="195"/>
      <c r="H77" s="195"/>
      <c r="I77" s="195"/>
      <c r="J77" s="195"/>
      <c r="K77" s="195"/>
      <c r="L77" s="195"/>
      <c r="M77" s="195"/>
      <c r="N77" s="195"/>
      <c r="O77" s="195"/>
      <c r="P77" s="195"/>
      <c r="Q77" s="195"/>
    </row>
    <row r="78" spans="1:18" x14ac:dyDescent="0.35">
      <c r="A78" s="23"/>
      <c r="B78" s="23"/>
      <c r="C78" s="312" t="s">
        <v>741</v>
      </c>
      <c r="D78" s="312"/>
      <c r="E78" s="312"/>
      <c r="F78" s="312"/>
      <c r="G78" s="312"/>
      <c r="H78" s="312"/>
      <c r="I78" s="312"/>
      <c r="J78" s="312"/>
      <c r="K78" s="312"/>
      <c r="L78" s="312"/>
      <c r="M78" s="312"/>
      <c r="N78" s="312"/>
      <c r="O78" s="312"/>
      <c r="P78" s="312"/>
      <c r="Q78" s="312"/>
    </row>
    <row r="79" spans="1:18" x14ac:dyDescent="0.35">
      <c r="A79" s="189"/>
      <c r="B79" s="189"/>
      <c r="C79" s="188"/>
      <c r="D79" s="188"/>
      <c r="E79" s="188"/>
      <c r="F79" s="188"/>
      <c r="G79" s="188"/>
      <c r="H79" s="188"/>
      <c r="I79" s="188"/>
      <c r="J79" s="188"/>
      <c r="K79" s="188"/>
      <c r="L79" s="188"/>
      <c r="M79" s="188"/>
      <c r="N79" s="188"/>
      <c r="O79" s="188"/>
      <c r="P79" s="188"/>
      <c r="Q79" s="188"/>
    </row>
    <row r="80" spans="1:18" x14ac:dyDescent="0.35">
      <c r="A80" s="260" t="s">
        <v>145</v>
      </c>
      <c r="B80" s="260"/>
      <c r="C80" s="260"/>
      <c r="D80" s="260"/>
      <c r="E80" s="260"/>
      <c r="F80" s="260"/>
      <c r="G80" s="260"/>
      <c r="H80" s="260"/>
      <c r="I80" s="260"/>
      <c r="J80" s="260"/>
      <c r="K80" s="260"/>
      <c r="L80" s="260"/>
      <c r="M80" s="260"/>
      <c r="N80" s="260"/>
      <c r="O80" s="260"/>
      <c r="P80" s="260"/>
      <c r="Q80" s="260"/>
    </row>
    <row r="81" spans="1:17" x14ac:dyDescent="0.35">
      <c r="A81" s="262" t="s">
        <v>146</v>
      </c>
      <c r="B81" s="262"/>
      <c r="C81" s="195" t="s">
        <v>147</v>
      </c>
      <c r="D81" s="195"/>
      <c r="E81" s="195"/>
      <c r="F81" s="195"/>
      <c r="G81" s="195"/>
      <c r="H81" s="195"/>
      <c r="I81" s="195"/>
      <c r="J81" s="195"/>
      <c r="K81" s="195"/>
      <c r="L81" s="195"/>
      <c r="M81" s="195"/>
      <c r="N81" s="195"/>
      <c r="O81" s="195"/>
      <c r="P81" s="195"/>
      <c r="Q81" s="195"/>
    </row>
    <row r="82" spans="1:17" x14ac:dyDescent="0.35">
      <c r="A82" s="262" t="s">
        <v>148</v>
      </c>
      <c r="B82" s="262"/>
      <c r="C82" s="195" t="s">
        <v>149</v>
      </c>
      <c r="D82" s="195"/>
      <c r="E82" s="195"/>
      <c r="F82" s="195"/>
      <c r="G82" s="195"/>
      <c r="H82" s="195"/>
      <c r="I82" s="195"/>
      <c r="J82" s="195"/>
      <c r="K82" s="195"/>
      <c r="L82" s="195"/>
      <c r="M82" s="195"/>
      <c r="N82" s="195"/>
      <c r="O82" s="195"/>
      <c r="P82" s="195"/>
      <c r="Q82" s="195"/>
    </row>
    <row r="83" spans="1:17" x14ac:dyDescent="0.35">
      <c r="A83" s="262" t="s">
        <v>150</v>
      </c>
      <c r="B83" s="262"/>
      <c r="C83" s="195" t="s">
        <v>151</v>
      </c>
      <c r="D83" s="195"/>
      <c r="E83" s="195"/>
      <c r="F83" s="195"/>
      <c r="G83" s="195"/>
      <c r="H83" s="195"/>
      <c r="I83" s="195"/>
      <c r="J83" s="195"/>
      <c r="K83" s="195"/>
      <c r="L83" s="195"/>
      <c r="M83" s="195"/>
      <c r="N83" s="195"/>
      <c r="O83" s="195"/>
      <c r="P83" s="195"/>
      <c r="Q83" s="195"/>
    </row>
    <row r="84" spans="1:17" x14ac:dyDescent="0.35">
      <c r="A84" s="262" t="s">
        <v>152</v>
      </c>
      <c r="B84" s="262"/>
      <c r="C84" s="195" t="s">
        <v>153</v>
      </c>
      <c r="D84" s="195"/>
      <c r="E84" s="195"/>
      <c r="F84" s="195"/>
      <c r="G84" s="195"/>
      <c r="H84" s="195"/>
      <c r="I84" s="195"/>
      <c r="J84" s="195"/>
      <c r="K84" s="195"/>
      <c r="L84" s="195"/>
      <c r="M84" s="195"/>
      <c r="N84" s="195"/>
      <c r="O84" s="195"/>
      <c r="P84" s="195"/>
      <c r="Q84" s="195"/>
    </row>
    <row r="85" spans="1:17" x14ac:dyDescent="0.35">
      <c r="A85" s="23"/>
      <c r="B85" s="23"/>
      <c r="C85" s="91"/>
      <c r="D85" s="91"/>
      <c r="E85" s="91"/>
      <c r="F85" s="91"/>
      <c r="G85" s="91"/>
      <c r="H85" s="91"/>
      <c r="I85" s="91"/>
      <c r="J85" s="91"/>
      <c r="K85" s="91"/>
      <c r="L85" s="91"/>
      <c r="M85" s="91"/>
      <c r="N85" s="91"/>
      <c r="O85" s="91"/>
      <c r="P85" s="91"/>
      <c r="Q85" s="91"/>
    </row>
    <row r="86" spans="1:17" x14ac:dyDescent="0.35">
      <c r="A86" s="263" t="s">
        <v>154</v>
      </c>
      <c r="B86" s="263"/>
      <c r="C86" s="263"/>
      <c r="D86" s="263"/>
      <c r="E86" s="263"/>
      <c r="F86" s="263"/>
      <c r="G86" s="263"/>
      <c r="H86" s="263"/>
      <c r="I86" s="263"/>
      <c r="J86" s="263"/>
      <c r="K86" s="263"/>
      <c r="L86" s="263"/>
      <c r="M86" s="263"/>
      <c r="N86" s="263"/>
      <c r="O86" s="263"/>
      <c r="P86" s="263"/>
      <c r="Q86" s="263"/>
    </row>
    <row r="87" spans="1:17" ht="29.25" customHeight="1" x14ac:dyDescent="0.35">
      <c r="A87" s="14" t="s">
        <v>155</v>
      </c>
      <c r="B87" s="194" t="s">
        <v>156</v>
      </c>
      <c r="C87" s="194"/>
      <c r="D87" s="194"/>
      <c r="E87" s="194"/>
      <c r="F87" s="194"/>
      <c r="G87" s="194"/>
      <c r="H87" s="194"/>
      <c r="I87" s="194"/>
      <c r="J87" s="194"/>
      <c r="K87" s="194"/>
      <c r="L87" s="194"/>
      <c r="M87" s="194"/>
      <c r="N87" s="194"/>
      <c r="O87" s="194"/>
      <c r="P87" s="194"/>
      <c r="Q87" s="194"/>
    </row>
    <row r="88" spans="1:17" ht="28.5" customHeight="1" x14ac:dyDescent="0.35">
      <c r="A88" s="14" t="s">
        <v>157</v>
      </c>
      <c r="B88" s="194" t="s">
        <v>158</v>
      </c>
      <c r="C88" s="194"/>
      <c r="D88" s="194"/>
      <c r="E88" s="194"/>
      <c r="F88" s="194"/>
      <c r="G88" s="194"/>
      <c r="H88" s="194"/>
      <c r="I88" s="194"/>
      <c r="J88" s="194"/>
      <c r="K88" s="194"/>
      <c r="L88" s="194"/>
      <c r="M88" s="194"/>
      <c r="N88" s="194"/>
      <c r="O88" s="194"/>
      <c r="P88" s="194"/>
      <c r="Q88" s="194"/>
    </row>
    <row r="89" spans="1:17" ht="49.5" customHeight="1" x14ac:dyDescent="0.35">
      <c r="A89" s="23"/>
      <c r="B89" s="194" t="s">
        <v>159</v>
      </c>
      <c r="C89" s="194"/>
      <c r="D89" s="194"/>
      <c r="E89" s="194"/>
      <c r="F89" s="194"/>
      <c r="G89" s="194"/>
      <c r="H89" s="194"/>
      <c r="I89" s="194"/>
      <c r="J89" s="194"/>
      <c r="K89" s="194"/>
      <c r="L89" s="194"/>
      <c r="M89" s="194"/>
      <c r="N89" s="194"/>
      <c r="O89" s="194"/>
      <c r="P89" s="194"/>
      <c r="Q89" s="194"/>
    </row>
    <row r="90" spans="1:17" x14ac:dyDescent="0.35">
      <c r="A90" s="224" t="s">
        <v>160</v>
      </c>
      <c r="B90" s="224"/>
      <c r="C90" s="224"/>
      <c r="D90" s="224"/>
      <c r="E90" s="224"/>
      <c r="F90" s="224"/>
      <c r="G90" s="224"/>
      <c r="H90" s="224"/>
      <c r="I90" s="224"/>
      <c r="J90" s="224"/>
      <c r="K90" s="224"/>
      <c r="L90" s="224"/>
      <c r="M90" s="224"/>
      <c r="N90" s="224"/>
      <c r="O90" s="224"/>
      <c r="P90" s="224"/>
      <c r="Q90" s="224"/>
    </row>
    <row r="91" spans="1:17" x14ac:dyDescent="0.35">
      <c r="A91" s="225" t="s">
        <v>161</v>
      </c>
      <c r="B91" s="130" t="s">
        <v>162</v>
      </c>
      <c r="C91" s="195" t="s">
        <v>163</v>
      </c>
      <c r="D91" s="195"/>
      <c r="E91" s="195"/>
      <c r="F91" s="195"/>
      <c r="G91" s="195"/>
      <c r="H91" s="195"/>
      <c r="I91" s="195"/>
      <c r="J91" s="195"/>
      <c r="K91" s="195"/>
      <c r="L91" s="195"/>
      <c r="M91" s="195"/>
      <c r="N91" s="195"/>
      <c r="O91" s="195"/>
      <c r="P91" s="195"/>
      <c r="Q91" s="195"/>
    </row>
    <row r="92" spans="1:17" x14ac:dyDescent="0.35">
      <c r="A92" s="225"/>
      <c r="B92" s="130" t="s">
        <v>164</v>
      </c>
      <c r="C92" s="195" t="s">
        <v>165</v>
      </c>
      <c r="D92" s="195"/>
      <c r="E92" s="195"/>
      <c r="F92" s="195"/>
      <c r="G92" s="195"/>
      <c r="H92" s="195"/>
      <c r="I92" s="195"/>
      <c r="J92" s="195"/>
      <c r="K92" s="195"/>
      <c r="L92" s="195"/>
      <c r="M92" s="195"/>
      <c r="N92" s="195"/>
      <c r="O92" s="195"/>
      <c r="P92" s="195"/>
      <c r="Q92" s="195"/>
    </row>
    <row r="93" spans="1:17" x14ac:dyDescent="0.35">
      <c r="A93" s="225"/>
      <c r="B93" s="130" t="s">
        <v>166</v>
      </c>
      <c r="C93" s="195" t="s">
        <v>167</v>
      </c>
      <c r="D93" s="195"/>
      <c r="E93" s="195"/>
      <c r="F93" s="195"/>
      <c r="G93" s="195"/>
      <c r="H93" s="195"/>
      <c r="I93" s="195"/>
      <c r="J93" s="195"/>
      <c r="K93" s="195"/>
      <c r="L93" s="195"/>
      <c r="M93" s="195"/>
      <c r="N93" s="195"/>
      <c r="O93" s="195"/>
      <c r="P93" s="195"/>
      <c r="Q93" s="195"/>
    </row>
    <row r="94" spans="1:17" x14ac:dyDescent="0.35">
      <c r="A94" s="225"/>
      <c r="B94" s="130" t="s">
        <v>168</v>
      </c>
      <c r="C94" s="195" t="s">
        <v>169</v>
      </c>
      <c r="D94" s="195"/>
      <c r="E94" s="195"/>
      <c r="F94" s="195"/>
      <c r="G94" s="195"/>
      <c r="H94" s="195"/>
      <c r="I94" s="195"/>
      <c r="J94" s="195"/>
      <c r="K94" s="195"/>
      <c r="L94" s="195"/>
      <c r="M94" s="195"/>
      <c r="N94" s="195"/>
      <c r="O94" s="195"/>
      <c r="P94" s="195"/>
      <c r="Q94" s="195"/>
    </row>
    <row r="95" spans="1:17" x14ac:dyDescent="0.35">
      <c r="A95" s="225"/>
      <c r="B95" s="130" t="s">
        <v>170</v>
      </c>
      <c r="C95" s="195" t="s">
        <v>171</v>
      </c>
      <c r="D95" s="195"/>
      <c r="E95" s="195"/>
      <c r="F95" s="195"/>
      <c r="G95" s="195"/>
      <c r="H95" s="195"/>
      <c r="I95" s="195"/>
      <c r="J95" s="195"/>
      <c r="K95" s="195"/>
      <c r="L95" s="195"/>
      <c r="M95" s="195"/>
      <c r="N95" s="195"/>
      <c r="O95" s="195"/>
      <c r="P95" s="195"/>
      <c r="Q95" s="195"/>
    </row>
    <row r="96" spans="1:17" x14ac:dyDescent="0.35">
      <c r="A96" s="225"/>
      <c r="B96" s="130" t="s">
        <v>172</v>
      </c>
      <c r="C96" s="195" t="s">
        <v>173</v>
      </c>
      <c r="D96" s="195"/>
      <c r="E96" s="195"/>
      <c r="F96" s="195"/>
      <c r="G96" s="195"/>
      <c r="H96" s="195"/>
      <c r="I96" s="195"/>
      <c r="J96" s="195"/>
      <c r="K96" s="195"/>
      <c r="L96" s="195"/>
      <c r="M96" s="195"/>
      <c r="N96" s="195"/>
      <c r="O96" s="195"/>
      <c r="P96" s="195"/>
      <c r="Q96" s="195"/>
    </row>
    <row r="97" spans="1:17" x14ac:dyDescent="0.35">
      <c r="A97" s="225"/>
      <c r="B97" s="130" t="s">
        <v>174</v>
      </c>
      <c r="C97" s="195" t="s">
        <v>175</v>
      </c>
      <c r="D97" s="195"/>
      <c r="E97" s="195"/>
      <c r="F97" s="195"/>
      <c r="G97" s="195"/>
      <c r="H97" s="195"/>
      <c r="I97" s="195"/>
      <c r="J97" s="195"/>
      <c r="K97" s="195"/>
      <c r="L97" s="195"/>
      <c r="M97" s="195"/>
      <c r="N97" s="195"/>
      <c r="O97" s="195"/>
      <c r="P97" s="195"/>
      <c r="Q97" s="195"/>
    </row>
    <row r="98" spans="1:17" x14ac:dyDescent="0.35">
      <c r="A98" s="225"/>
      <c r="B98" s="130" t="s">
        <v>176</v>
      </c>
      <c r="C98" s="195" t="s">
        <v>177</v>
      </c>
      <c r="D98" s="195"/>
      <c r="E98" s="195"/>
      <c r="F98" s="195"/>
      <c r="G98" s="195"/>
      <c r="H98" s="195"/>
      <c r="I98" s="195"/>
      <c r="J98" s="195"/>
      <c r="K98" s="195"/>
      <c r="L98" s="195"/>
      <c r="M98" s="195"/>
      <c r="N98" s="195"/>
      <c r="O98" s="195"/>
      <c r="P98" s="195"/>
      <c r="Q98" s="195"/>
    </row>
    <row r="99" spans="1:17" x14ac:dyDescent="0.35">
      <c r="A99" s="225"/>
      <c r="B99" s="130" t="s">
        <v>178</v>
      </c>
      <c r="C99" s="195" t="s">
        <v>179</v>
      </c>
      <c r="D99" s="195"/>
      <c r="E99" s="195"/>
      <c r="F99" s="195"/>
      <c r="G99" s="195"/>
      <c r="H99" s="195"/>
      <c r="I99" s="195"/>
      <c r="J99" s="195"/>
      <c r="K99" s="195"/>
      <c r="L99" s="195"/>
      <c r="M99" s="195"/>
      <c r="N99" s="195"/>
      <c r="O99" s="195"/>
      <c r="P99" s="195"/>
      <c r="Q99" s="195"/>
    </row>
    <row r="100" spans="1:17" x14ac:dyDescent="0.35">
      <c r="A100" s="225"/>
      <c r="B100" s="130" t="s">
        <v>180</v>
      </c>
      <c r="C100" s="195" t="s">
        <v>181</v>
      </c>
      <c r="D100" s="195"/>
      <c r="E100" s="195"/>
      <c r="F100" s="195"/>
      <c r="G100" s="195"/>
      <c r="H100" s="195"/>
      <c r="I100" s="195"/>
      <c r="J100" s="195"/>
      <c r="K100" s="195"/>
      <c r="L100" s="195"/>
      <c r="M100" s="195"/>
      <c r="N100" s="195"/>
      <c r="O100" s="195"/>
      <c r="P100" s="195"/>
      <c r="Q100" s="195"/>
    </row>
    <row r="101" spans="1:17" x14ac:dyDescent="0.35">
      <c r="A101" s="225"/>
      <c r="B101" s="130" t="s">
        <v>182</v>
      </c>
      <c r="C101" s="195" t="s">
        <v>183</v>
      </c>
      <c r="D101" s="195"/>
      <c r="E101" s="195"/>
      <c r="F101" s="195"/>
      <c r="G101" s="195"/>
      <c r="H101" s="195"/>
      <c r="I101" s="195"/>
      <c r="J101" s="195"/>
      <c r="K101" s="195"/>
      <c r="L101" s="195"/>
      <c r="M101" s="195"/>
      <c r="N101" s="195"/>
      <c r="O101" s="195"/>
      <c r="P101" s="195"/>
      <c r="Q101" s="195"/>
    </row>
    <row r="102" spans="1:17" x14ac:dyDescent="0.35">
      <c r="A102" s="225"/>
      <c r="B102" s="130" t="s">
        <v>184</v>
      </c>
      <c r="C102" s="195" t="s">
        <v>185</v>
      </c>
      <c r="D102" s="195"/>
      <c r="E102" s="195"/>
      <c r="F102" s="195"/>
      <c r="G102" s="195"/>
      <c r="H102" s="195"/>
      <c r="I102" s="195"/>
      <c r="J102" s="195"/>
      <c r="K102" s="195"/>
      <c r="L102" s="195"/>
      <c r="M102" s="195"/>
      <c r="N102" s="195"/>
      <c r="O102" s="195"/>
      <c r="P102" s="195"/>
      <c r="Q102" s="195"/>
    </row>
    <row r="103" spans="1:17" x14ac:dyDescent="0.35">
      <c r="A103" s="203">
        <v>1275</v>
      </c>
      <c r="B103" s="226" t="s">
        <v>186</v>
      </c>
      <c r="C103" s="226"/>
      <c r="D103" s="252" t="s">
        <v>187</v>
      </c>
      <c r="E103" s="253"/>
      <c r="F103" s="253"/>
      <c r="G103" s="253"/>
      <c r="H103" s="253"/>
      <c r="I103" s="253"/>
      <c r="J103" s="253"/>
      <c r="K103" s="253"/>
      <c r="L103" s="253"/>
      <c r="M103" s="253"/>
      <c r="N103" s="253"/>
      <c r="O103" s="253"/>
      <c r="P103" s="253"/>
      <c r="Q103" s="254"/>
    </row>
    <row r="104" spans="1:17" x14ac:dyDescent="0.35">
      <c r="A104" s="203"/>
      <c r="B104" s="226" t="s">
        <v>188</v>
      </c>
      <c r="C104" s="226"/>
      <c r="D104" s="195" t="s">
        <v>189</v>
      </c>
      <c r="E104" s="195"/>
      <c r="F104" s="195"/>
      <c r="G104" s="195"/>
      <c r="H104" s="195"/>
      <c r="I104" s="195"/>
      <c r="J104" s="195"/>
      <c r="K104" s="195"/>
      <c r="L104" s="195"/>
      <c r="M104" s="195"/>
      <c r="N104" s="195"/>
      <c r="O104" s="195"/>
      <c r="P104" s="195"/>
      <c r="Q104" s="195"/>
    </row>
    <row r="105" spans="1:17" x14ac:dyDescent="0.35">
      <c r="A105" s="205" t="s">
        <v>190</v>
      </c>
      <c r="B105" s="204" t="s">
        <v>186</v>
      </c>
      <c r="C105" s="204"/>
      <c r="D105" s="249" t="s">
        <v>191</v>
      </c>
      <c r="E105" s="250"/>
      <c r="F105" s="250"/>
      <c r="G105" s="250"/>
      <c r="H105" s="250"/>
      <c r="I105" s="250"/>
      <c r="J105" s="250"/>
      <c r="K105" s="250"/>
      <c r="L105" s="250"/>
      <c r="M105" s="250"/>
      <c r="N105" s="250"/>
      <c r="O105" s="250"/>
      <c r="P105" s="250"/>
      <c r="Q105" s="251"/>
    </row>
    <row r="106" spans="1:17" x14ac:dyDescent="0.35">
      <c r="A106" s="205"/>
      <c r="B106" s="204" t="s">
        <v>188</v>
      </c>
      <c r="C106" s="204"/>
      <c r="D106" s="135" t="s">
        <v>192</v>
      </c>
      <c r="E106" s="135"/>
      <c r="F106" s="135"/>
      <c r="G106" s="135"/>
      <c r="H106" s="135"/>
      <c r="I106" s="135"/>
      <c r="J106" s="135"/>
      <c r="K106" s="135"/>
      <c r="L106" s="135"/>
      <c r="M106" s="135"/>
      <c r="N106" s="135"/>
      <c r="O106" s="135"/>
      <c r="P106" s="135"/>
      <c r="Q106" s="135"/>
    </row>
    <row r="107" spans="1:17" ht="15" customHeight="1" x14ac:dyDescent="0.35">
      <c r="A107" s="202" t="s">
        <v>193</v>
      </c>
      <c r="B107" s="201" t="s">
        <v>194</v>
      </c>
      <c r="C107" s="201"/>
      <c r="D107" s="194" t="s">
        <v>195</v>
      </c>
      <c r="E107" s="194"/>
      <c r="F107" s="194"/>
      <c r="G107" s="194"/>
      <c r="H107" s="194"/>
      <c r="I107" s="194"/>
      <c r="J107" s="194"/>
      <c r="K107" s="194"/>
      <c r="L107" s="194"/>
      <c r="M107" s="194"/>
      <c r="N107" s="194"/>
      <c r="O107" s="194"/>
      <c r="P107" s="194"/>
      <c r="Q107" s="194"/>
    </row>
    <row r="108" spans="1:17" x14ac:dyDescent="0.35">
      <c r="A108" s="202"/>
      <c r="B108" s="201"/>
      <c r="C108" s="201"/>
      <c r="D108" s="194"/>
      <c r="E108" s="194"/>
      <c r="F108" s="194"/>
      <c r="G108" s="194"/>
      <c r="H108" s="194"/>
      <c r="I108" s="194"/>
      <c r="J108" s="194"/>
      <c r="K108" s="194"/>
      <c r="L108" s="194"/>
      <c r="M108" s="194"/>
      <c r="N108" s="194"/>
      <c r="O108" s="194"/>
      <c r="P108" s="194"/>
      <c r="Q108" s="194"/>
    </row>
    <row r="109" spans="1:17" x14ac:dyDescent="0.35">
      <c r="A109" s="202"/>
      <c r="B109" s="201" t="s">
        <v>196</v>
      </c>
      <c r="C109" s="201"/>
      <c r="D109" s="194" t="s">
        <v>197</v>
      </c>
      <c r="E109" s="194"/>
      <c r="F109" s="194"/>
      <c r="G109" s="194"/>
      <c r="H109" s="194"/>
      <c r="I109" s="194"/>
      <c r="J109" s="194"/>
      <c r="K109" s="194"/>
      <c r="L109" s="194"/>
      <c r="M109" s="194"/>
      <c r="N109" s="194"/>
      <c r="O109" s="194"/>
      <c r="P109" s="194"/>
      <c r="Q109" s="194"/>
    </row>
    <row r="110" spans="1:17" x14ac:dyDescent="0.35">
      <c r="A110" s="202"/>
      <c r="B110" s="201"/>
      <c r="C110" s="201"/>
      <c r="D110" s="194"/>
      <c r="E110" s="194"/>
      <c r="F110" s="194"/>
      <c r="G110" s="194"/>
      <c r="H110" s="194"/>
      <c r="I110" s="194"/>
      <c r="J110" s="194"/>
      <c r="K110" s="194"/>
      <c r="L110" s="194"/>
      <c r="M110" s="194"/>
      <c r="N110" s="194"/>
      <c r="O110" s="194"/>
      <c r="P110" s="194"/>
      <c r="Q110" s="194"/>
    </row>
    <row r="111" spans="1:17" x14ac:dyDescent="0.35">
      <c r="A111" s="202"/>
      <c r="B111" s="201" t="s">
        <v>198</v>
      </c>
      <c r="C111" s="201"/>
      <c r="D111" s="194" t="s">
        <v>199</v>
      </c>
      <c r="E111" s="194"/>
      <c r="F111" s="194"/>
      <c r="G111" s="194"/>
      <c r="H111" s="194"/>
      <c r="I111" s="194"/>
      <c r="J111" s="194"/>
      <c r="K111" s="194"/>
      <c r="L111" s="194"/>
      <c r="M111" s="194"/>
      <c r="N111" s="194"/>
      <c r="O111" s="194"/>
      <c r="P111" s="194"/>
      <c r="Q111" s="194"/>
    </row>
    <row r="112" spans="1:17" ht="15" customHeight="1" x14ac:dyDescent="0.35">
      <c r="A112" s="202"/>
      <c r="B112" s="201"/>
      <c r="C112" s="201"/>
      <c r="D112" s="194"/>
      <c r="E112" s="194"/>
      <c r="F112" s="194"/>
      <c r="G112" s="194"/>
      <c r="H112" s="194"/>
      <c r="I112" s="194"/>
      <c r="J112" s="194"/>
      <c r="K112" s="194"/>
      <c r="L112" s="194"/>
      <c r="M112" s="194"/>
      <c r="N112" s="194"/>
      <c r="O112" s="194"/>
      <c r="P112" s="194"/>
      <c r="Q112" s="194"/>
    </row>
    <row r="113" spans="1:23" x14ac:dyDescent="0.35">
      <c r="A113" s="92"/>
      <c r="B113" s="92"/>
      <c r="C113" s="92"/>
      <c r="D113" s="92"/>
      <c r="E113" s="92"/>
      <c r="F113" s="92"/>
      <c r="G113" s="92"/>
      <c r="H113" s="92"/>
      <c r="I113" s="92"/>
      <c r="J113" s="92"/>
      <c r="K113" s="92"/>
      <c r="L113" s="92"/>
      <c r="M113" s="92"/>
      <c r="N113" s="92"/>
      <c r="O113" s="92"/>
      <c r="P113" s="92"/>
      <c r="Q113" s="92"/>
    </row>
    <row r="114" spans="1:23" ht="18" x14ac:dyDescent="0.4">
      <c r="A114" s="199" t="s">
        <v>200</v>
      </c>
      <c r="B114" s="199"/>
      <c r="C114" s="199"/>
      <c r="D114" s="199"/>
      <c r="E114" s="199"/>
      <c r="F114" s="199"/>
      <c r="G114" s="199"/>
      <c r="H114" s="199"/>
      <c r="I114" s="199"/>
      <c r="J114" s="199"/>
      <c r="K114" s="199"/>
      <c r="L114" s="199"/>
      <c r="M114" s="199"/>
      <c r="N114" s="199"/>
      <c r="O114" s="199"/>
      <c r="P114" s="199"/>
      <c r="Q114" s="199"/>
      <c r="R114" s="38"/>
      <c r="S114" s="241" t="s">
        <v>201</v>
      </c>
      <c r="T114" s="241"/>
      <c r="U114" s="113">
        <v>1.47E-2</v>
      </c>
    </row>
    <row r="115" spans="1:23" ht="18" x14ac:dyDescent="0.4">
      <c r="A115" s="95" t="s">
        <v>202</v>
      </c>
      <c r="B115" s="195" t="s">
        <v>203</v>
      </c>
      <c r="C115" s="195"/>
      <c r="D115" s="195"/>
      <c r="E115" s="195"/>
      <c r="F115" s="195"/>
      <c r="G115" s="195"/>
      <c r="H115" s="195"/>
      <c r="I115" s="195"/>
      <c r="J115" s="195"/>
      <c r="K115" s="195"/>
      <c r="L115" s="195"/>
      <c r="M115" s="195"/>
      <c r="N115" s="195"/>
      <c r="O115" s="195"/>
      <c r="P115" s="195"/>
      <c r="Q115" s="195"/>
      <c r="R115" s="40"/>
      <c r="S115" s="241" t="s">
        <v>204</v>
      </c>
      <c r="T115" s="241"/>
      <c r="U115" s="93">
        <v>46</v>
      </c>
      <c r="V115" s="40" t="s">
        <v>205</v>
      </c>
    </row>
    <row r="116" spans="1:23" ht="18" x14ac:dyDescent="0.4">
      <c r="A116" s="96" t="s">
        <v>206</v>
      </c>
      <c r="B116" s="195" t="s">
        <v>207</v>
      </c>
      <c r="C116" s="195"/>
      <c r="D116" s="195"/>
      <c r="E116" s="195"/>
      <c r="F116" s="195"/>
      <c r="G116" s="195"/>
      <c r="H116" s="195"/>
      <c r="I116" s="195"/>
      <c r="J116" s="195"/>
      <c r="K116" s="195"/>
      <c r="L116" s="195"/>
      <c r="M116" s="195"/>
      <c r="N116" s="195"/>
      <c r="O116" s="195"/>
      <c r="P116" s="195"/>
      <c r="Q116" s="195"/>
      <c r="R116" s="38"/>
      <c r="S116" s="240" t="s">
        <v>208</v>
      </c>
      <c r="T116" s="240"/>
      <c r="U116" s="239">
        <f>U115*U114</f>
        <v>0.67620000000000002</v>
      </c>
      <c r="V116" s="239"/>
      <c r="W116" t="s">
        <v>209</v>
      </c>
    </row>
    <row r="118" spans="1:23" x14ac:dyDescent="0.35">
      <c r="A118" s="200" t="s">
        <v>210</v>
      </c>
      <c r="B118" s="200"/>
      <c r="C118" s="200"/>
      <c r="D118" s="200"/>
      <c r="E118" s="200"/>
      <c r="F118" s="200"/>
      <c r="G118" s="200"/>
      <c r="H118" s="200"/>
      <c r="I118" s="200"/>
      <c r="J118" s="200"/>
      <c r="K118" s="200"/>
      <c r="L118" s="200"/>
      <c r="M118" s="200"/>
      <c r="N118" s="200"/>
      <c r="O118" s="200"/>
      <c r="P118" s="200"/>
      <c r="Q118" s="200"/>
    </row>
    <row r="119" spans="1:23" x14ac:dyDescent="0.35">
      <c r="A119" s="14" t="s">
        <v>211</v>
      </c>
      <c r="B119" s="195" t="s">
        <v>212</v>
      </c>
      <c r="C119" s="195"/>
      <c r="D119" s="195"/>
      <c r="E119" s="195"/>
      <c r="F119" s="195"/>
      <c r="G119" s="195"/>
      <c r="H119" s="195"/>
      <c r="I119" s="195"/>
      <c r="J119" s="195"/>
      <c r="K119" s="195"/>
      <c r="L119" s="195"/>
      <c r="M119" s="195"/>
      <c r="N119" s="195"/>
      <c r="O119" s="195"/>
      <c r="P119" s="195"/>
      <c r="Q119" s="195"/>
    </row>
    <row r="120" spans="1:23" x14ac:dyDescent="0.35">
      <c r="A120" s="14" t="s">
        <v>213</v>
      </c>
      <c r="B120" s="195" t="s">
        <v>214</v>
      </c>
      <c r="C120" s="195"/>
      <c r="D120" s="195"/>
      <c r="E120" s="195"/>
      <c r="F120" s="195"/>
      <c r="G120" s="195"/>
      <c r="H120" s="195"/>
      <c r="I120" s="195"/>
      <c r="J120" s="195"/>
      <c r="K120" s="195"/>
      <c r="L120" s="195"/>
      <c r="M120" s="195"/>
      <c r="N120" s="195"/>
      <c r="O120" s="195"/>
      <c r="P120" s="195"/>
      <c r="Q120" s="195"/>
    </row>
    <row r="121" spans="1:23" x14ac:dyDescent="0.35">
      <c r="B121" s="23"/>
    </row>
    <row r="122" spans="1:23" x14ac:dyDescent="0.35">
      <c r="B122" s="23"/>
    </row>
    <row r="123" spans="1:23" x14ac:dyDescent="0.35">
      <c r="B123" s="23"/>
    </row>
    <row r="124" spans="1:23" x14ac:dyDescent="0.35">
      <c r="A124" s="198" t="s">
        <v>215</v>
      </c>
      <c r="B124" s="198"/>
      <c r="C124" s="198"/>
      <c r="D124" s="198"/>
      <c r="E124" s="198"/>
      <c r="F124" s="198"/>
      <c r="G124" s="198"/>
      <c r="H124" s="198"/>
      <c r="I124" s="198"/>
      <c r="J124" s="198"/>
      <c r="K124" s="198"/>
      <c r="L124" s="198"/>
      <c r="M124" s="198"/>
      <c r="N124" s="198"/>
      <c r="O124" s="198"/>
      <c r="P124" s="198"/>
      <c r="Q124" s="198"/>
    </row>
    <row r="125" spans="1:23" ht="15" customHeight="1" x14ac:dyDescent="0.35">
      <c r="A125" s="197"/>
      <c r="B125" s="196" t="s">
        <v>216</v>
      </c>
      <c r="C125" s="196"/>
      <c r="D125" s="196"/>
      <c r="E125" s="196"/>
      <c r="F125" s="196"/>
      <c r="G125" s="196"/>
      <c r="H125" s="196"/>
      <c r="I125" s="196"/>
      <c r="J125" s="196"/>
      <c r="K125" s="196"/>
      <c r="L125" s="196"/>
      <c r="M125" s="196"/>
      <c r="N125" s="196"/>
      <c r="O125" s="196"/>
      <c r="P125" s="196"/>
      <c r="Q125" s="196"/>
    </row>
    <row r="126" spans="1:23" x14ac:dyDescent="0.35">
      <c r="A126" s="197"/>
      <c r="B126" s="196"/>
      <c r="C126" s="196"/>
      <c r="D126" s="196"/>
      <c r="E126" s="196"/>
      <c r="F126" s="196"/>
      <c r="G126" s="196"/>
      <c r="H126" s="196"/>
      <c r="I126" s="196"/>
      <c r="J126" s="196"/>
      <c r="K126" s="196"/>
      <c r="L126" s="196"/>
      <c r="M126" s="196"/>
      <c r="N126" s="196"/>
      <c r="O126" s="196"/>
      <c r="P126" s="196"/>
      <c r="Q126" s="196"/>
    </row>
    <row r="127" spans="1:23" x14ac:dyDescent="0.35">
      <c r="A127" s="197"/>
      <c r="B127" s="196"/>
      <c r="C127" s="196"/>
      <c r="D127" s="196"/>
      <c r="E127" s="196"/>
      <c r="F127" s="196"/>
      <c r="G127" s="196"/>
      <c r="H127" s="196"/>
      <c r="I127" s="196"/>
      <c r="J127" s="196"/>
      <c r="K127" s="196"/>
      <c r="L127" s="196"/>
      <c r="M127" s="196"/>
      <c r="N127" s="196"/>
      <c r="O127" s="196"/>
      <c r="P127" s="196"/>
      <c r="Q127" s="196"/>
    </row>
    <row r="128" spans="1:23" x14ac:dyDescent="0.35">
      <c r="A128" s="197"/>
      <c r="B128" s="196"/>
      <c r="C128" s="196"/>
      <c r="D128" s="196"/>
      <c r="E128" s="196"/>
      <c r="F128" s="196"/>
      <c r="G128" s="196"/>
      <c r="H128" s="196"/>
      <c r="I128" s="196"/>
      <c r="J128" s="196"/>
      <c r="K128" s="196"/>
      <c r="L128" s="196"/>
      <c r="M128" s="196"/>
      <c r="N128" s="196"/>
      <c r="O128" s="196"/>
      <c r="P128" s="196"/>
      <c r="Q128" s="196"/>
    </row>
    <row r="129" spans="1:17" x14ac:dyDescent="0.35">
      <c r="A129" s="197"/>
      <c r="B129" s="196"/>
      <c r="C129" s="196"/>
      <c r="D129" s="196"/>
      <c r="E129" s="196"/>
      <c r="F129" s="196"/>
      <c r="G129" s="196"/>
      <c r="H129" s="196"/>
      <c r="I129" s="196"/>
      <c r="J129" s="196"/>
      <c r="K129" s="196"/>
      <c r="L129" s="196"/>
      <c r="M129" s="196"/>
      <c r="N129" s="196"/>
      <c r="O129" s="196"/>
      <c r="P129" s="196"/>
      <c r="Q129" s="196"/>
    </row>
    <row r="130" spans="1:17" x14ac:dyDescent="0.35">
      <c r="A130" s="197"/>
      <c r="B130" s="196"/>
      <c r="C130" s="196"/>
      <c r="D130" s="196"/>
      <c r="E130" s="196"/>
      <c r="F130" s="196"/>
      <c r="G130" s="196"/>
      <c r="H130" s="196"/>
      <c r="I130" s="196"/>
      <c r="J130" s="196"/>
      <c r="K130" s="196"/>
      <c r="L130" s="196"/>
      <c r="M130" s="196"/>
      <c r="N130" s="196"/>
      <c r="O130" s="196"/>
      <c r="P130" s="196"/>
      <c r="Q130" s="196"/>
    </row>
    <row r="131" spans="1:17" x14ac:dyDescent="0.35">
      <c r="A131" s="197"/>
      <c r="B131" s="196"/>
      <c r="C131" s="196"/>
      <c r="D131" s="196"/>
      <c r="E131" s="196"/>
      <c r="F131" s="196"/>
      <c r="G131" s="196"/>
      <c r="H131" s="196"/>
      <c r="I131" s="196"/>
      <c r="J131" s="196"/>
      <c r="K131" s="196"/>
      <c r="L131" s="196"/>
      <c r="M131" s="196"/>
      <c r="N131" s="196"/>
      <c r="O131" s="196"/>
      <c r="P131" s="196"/>
      <c r="Q131" s="196"/>
    </row>
    <row r="132" spans="1:17" x14ac:dyDescent="0.35">
      <c r="A132" s="181"/>
      <c r="B132" s="182"/>
      <c r="C132" s="182"/>
      <c r="D132" s="182"/>
      <c r="E132" s="182"/>
      <c r="F132" s="182"/>
      <c r="G132" s="182"/>
      <c r="H132" s="182"/>
      <c r="I132" s="182"/>
      <c r="J132" s="182"/>
      <c r="K132" s="182"/>
      <c r="L132" s="182"/>
      <c r="M132" s="182"/>
      <c r="N132" s="182"/>
      <c r="O132" s="182"/>
      <c r="P132" s="182"/>
      <c r="Q132" s="182"/>
    </row>
    <row r="133" spans="1:17" x14ac:dyDescent="0.35">
      <c r="A133" s="191" t="s">
        <v>727</v>
      </c>
      <c r="B133" s="191"/>
      <c r="C133" s="191"/>
      <c r="D133" s="191"/>
      <c r="E133" s="191"/>
      <c r="F133" s="191"/>
      <c r="G133" s="191"/>
      <c r="H133" s="191"/>
      <c r="I133" s="191"/>
      <c r="J133" s="191"/>
      <c r="K133" s="191"/>
      <c r="L133" s="191"/>
      <c r="M133" s="191"/>
      <c r="N133" s="191"/>
      <c r="O133" s="191"/>
      <c r="P133" s="191"/>
      <c r="Q133" s="191"/>
    </row>
    <row r="134" spans="1:17" x14ac:dyDescent="0.35">
      <c r="A134" s="187"/>
      <c r="B134" s="190" t="s">
        <v>725</v>
      </c>
      <c r="C134" s="190"/>
      <c r="D134" s="190"/>
      <c r="E134" s="190"/>
      <c r="F134" s="190"/>
      <c r="G134" s="190"/>
      <c r="H134" s="190"/>
      <c r="I134" s="190"/>
      <c r="J134" s="190"/>
      <c r="K134" s="190"/>
      <c r="L134" s="190"/>
      <c r="M134" s="190"/>
      <c r="N134" s="190"/>
      <c r="O134" s="190"/>
      <c r="P134" s="190"/>
      <c r="Q134" s="190"/>
    </row>
    <row r="135" spans="1:17" x14ac:dyDescent="0.35">
      <c r="A135" s="187"/>
      <c r="B135" s="190" t="s">
        <v>726</v>
      </c>
      <c r="C135" s="190"/>
      <c r="D135" s="190"/>
      <c r="E135" s="190"/>
      <c r="F135" s="190"/>
      <c r="G135" s="190"/>
      <c r="H135" s="190"/>
      <c r="I135" s="190"/>
      <c r="J135" s="190"/>
      <c r="K135" s="190"/>
      <c r="L135" s="190"/>
      <c r="M135" s="190"/>
      <c r="N135" s="190"/>
      <c r="O135" s="190"/>
      <c r="P135" s="190"/>
      <c r="Q135" s="190"/>
    </row>
    <row r="136" spans="1:17" ht="55.5" customHeight="1" x14ac:dyDescent="0.35">
      <c r="A136" s="134" t="s">
        <v>729</v>
      </c>
      <c r="B136" s="192" t="s">
        <v>731</v>
      </c>
      <c r="C136" s="193"/>
      <c r="D136" s="193"/>
      <c r="E136" s="193"/>
      <c r="F136" s="193"/>
      <c r="G136" s="193"/>
      <c r="H136" s="193"/>
      <c r="I136" s="193"/>
      <c r="J136" s="193"/>
      <c r="K136" s="193"/>
      <c r="L136" s="193"/>
      <c r="M136" s="193"/>
      <c r="N136" s="193"/>
      <c r="O136" s="193"/>
      <c r="P136" s="193"/>
      <c r="Q136" s="193"/>
    </row>
    <row r="137" spans="1:17" ht="46" customHeight="1" x14ac:dyDescent="0.35">
      <c r="A137" s="130" t="s">
        <v>728</v>
      </c>
      <c r="B137" s="194" t="s">
        <v>732</v>
      </c>
      <c r="C137" s="195"/>
      <c r="D137" s="195"/>
      <c r="E137" s="195"/>
      <c r="F137" s="195"/>
      <c r="G137" s="195"/>
      <c r="H137" s="195"/>
      <c r="I137" s="195"/>
      <c r="J137" s="195"/>
      <c r="K137" s="195"/>
      <c r="L137" s="195"/>
      <c r="M137" s="195"/>
      <c r="N137" s="195"/>
      <c r="O137" s="195"/>
      <c r="P137" s="195"/>
      <c r="Q137" s="195"/>
    </row>
    <row r="138" spans="1:17" ht="44" customHeight="1" x14ac:dyDescent="0.35">
      <c r="A138" s="134" t="s">
        <v>730</v>
      </c>
      <c r="B138" s="194" t="s">
        <v>733</v>
      </c>
      <c r="C138" s="195"/>
      <c r="D138" s="195"/>
      <c r="E138" s="195"/>
      <c r="F138" s="195"/>
      <c r="G138" s="195"/>
      <c r="H138" s="195"/>
      <c r="I138" s="195"/>
      <c r="J138" s="195"/>
      <c r="K138" s="195"/>
      <c r="L138" s="195"/>
      <c r="M138" s="195"/>
      <c r="N138" s="195"/>
      <c r="O138" s="195"/>
      <c r="P138" s="195"/>
      <c r="Q138" s="195"/>
    </row>
    <row r="917" spans="2:2" x14ac:dyDescent="0.35">
      <c r="B917">
        <v>4500300873</v>
      </c>
    </row>
  </sheetData>
  <mergeCells count="153">
    <mergeCell ref="B89:Q89"/>
    <mergeCell ref="A44:B47"/>
    <mergeCell ref="C44:Q47"/>
    <mergeCell ref="A49:B50"/>
    <mergeCell ref="C49:Q50"/>
    <mergeCell ref="C1:Q1"/>
    <mergeCell ref="C19:Q22"/>
    <mergeCell ref="C23:Q26"/>
    <mergeCell ref="B4:B6"/>
    <mergeCell ref="B7:B14"/>
    <mergeCell ref="B15:B26"/>
    <mergeCell ref="A4:A26"/>
    <mergeCell ref="B31:B33"/>
    <mergeCell ref="C31:Q33"/>
    <mergeCell ref="C2:Q2"/>
    <mergeCell ref="C35:Q37"/>
    <mergeCell ref="C28:Q30"/>
    <mergeCell ref="B52:B53"/>
    <mergeCell ref="B54:B55"/>
    <mergeCell ref="C54:Q55"/>
    <mergeCell ref="A52:A55"/>
    <mergeCell ref="A59:Q59"/>
    <mergeCell ref="A82:B82"/>
    <mergeCell ref="A83:B83"/>
    <mergeCell ref="C83:Q83"/>
    <mergeCell ref="C84:Q84"/>
    <mergeCell ref="C52:Q53"/>
    <mergeCell ref="A76:B76"/>
    <mergeCell ref="C77:Q77"/>
    <mergeCell ref="C76:Q76"/>
    <mergeCell ref="A84:B84"/>
    <mergeCell ref="A60:B60"/>
    <mergeCell ref="A61:B61"/>
    <mergeCell ref="A62:B62"/>
    <mergeCell ref="C60:Q60"/>
    <mergeCell ref="C61:Q61"/>
    <mergeCell ref="C62:Q62"/>
    <mergeCell ref="A63:B63"/>
    <mergeCell ref="C63:Q63"/>
    <mergeCell ref="A66:Q66"/>
    <mergeCell ref="C70:Q72"/>
    <mergeCell ref="A70:B72"/>
    <mergeCell ref="A81:B81"/>
    <mergeCell ref="C56:Q58"/>
    <mergeCell ref="C78:Q78"/>
    <mergeCell ref="B35:B37"/>
    <mergeCell ref="A3:B3"/>
    <mergeCell ref="C3:Q3"/>
    <mergeCell ref="A28:A33"/>
    <mergeCell ref="B28:B30"/>
    <mergeCell ref="X19:Z19"/>
    <mergeCell ref="V3:V5"/>
    <mergeCell ref="T3:T5"/>
    <mergeCell ref="S3:S5"/>
    <mergeCell ref="C4:Q6"/>
    <mergeCell ref="C7:Q10"/>
    <mergeCell ref="C11:Q14"/>
    <mergeCell ref="C15:Q18"/>
    <mergeCell ref="S18:S20"/>
    <mergeCell ref="W3:Y4"/>
    <mergeCell ref="T18:T20"/>
    <mergeCell ref="Z3:AB4"/>
    <mergeCell ref="AF35:AQ35"/>
    <mergeCell ref="AC36:AD36"/>
    <mergeCell ref="AC37:AD37"/>
    <mergeCell ref="AC38:AD38"/>
    <mergeCell ref="AC39:AD39"/>
    <mergeCell ref="AG43:AH43"/>
    <mergeCell ref="AI43:AJ43"/>
    <mergeCell ref="AC46:AD46"/>
    <mergeCell ref="AC47:AD47"/>
    <mergeCell ref="AC41:AD41"/>
    <mergeCell ref="AC42:AD42"/>
    <mergeCell ref="AC43:AD43"/>
    <mergeCell ref="AC44:AD44"/>
    <mergeCell ref="AC45:AD45"/>
    <mergeCell ref="AC40:AD40"/>
    <mergeCell ref="AF36:AF37"/>
    <mergeCell ref="U116:V116"/>
    <mergeCell ref="S116:T116"/>
    <mergeCell ref="S115:T115"/>
    <mergeCell ref="B115:Q115"/>
    <mergeCell ref="B116:Q116"/>
    <mergeCell ref="S114:T114"/>
    <mergeCell ref="T62:U62"/>
    <mergeCell ref="AP36:AQ36"/>
    <mergeCell ref="AP37:AQ37"/>
    <mergeCell ref="AP38:AQ38"/>
    <mergeCell ref="D105:Q105"/>
    <mergeCell ref="D103:Q103"/>
    <mergeCell ref="C67:Q69"/>
    <mergeCell ref="A67:B69"/>
    <mergeCell ref="A73:B73"/>
    <mergeCell ref="C73:Q73"/>
    <mergeCell ref="A80:Q80"/>
    <mergeCell ref="A75:Q75"/>
    <mergeCell ref="A77:B77"/>
    <mergeCell ref="B105:C105"/>
    <mergeCell ref="C81:Q81"/>
    <mergeCell ref="C82:Q82"/>
    <mergeCell ref="A86:Q86"/>
    <mergeCell ref="B87:Q87"/>
    <mergeCell ref="C100:Q100"/>
    <mergeCell ref="C101:Q101"/>
    <mergeCell ref="C102:Q102"/>
    <mergeCell ref="B107:C108"/>
    <mergeCell ref="D107:Q108"/>
    <mergeCell ref="A103:A104"/>
    <mergeCell ref="B106:C106"/>
    <mergeCell ref="A105:A106"/>
    <mergeCell ref="AC3:AE4"/>
    <mergeCell ref="V19:W19"/>
    <mergeCell ref="V18:Z18"/>
    <mergeCell ref="S36:S37"/>
    <mergeCell ref="C38:Q40"/>
    <mergeCell ref="B88:Q88"/>
    <mergeCell ref="A90:Q90"/>
    <mergeCell ref="A91:A102"/>
    <mergeCell ref="B103:C103"/>
    <mergeCell ref="B104:C104"/>
    <mergeCell ref="D104:Q104"/>
    <mergeCell ref="A35:A43"/>
    <mergeCell ref="B41:B43"/>
    <mergeCell ref="C41:Q43"/>
    <mergeCell ref="B38:B40"/>
    <mergeCell ref="C27:Q27"/>
    <mergeCell ref="C91:Q91"/>
    <mergeCell ref="C92:Q92"/>
    <mergeCell ref="C93:Q93"/>
    <mergeCell ref="C94:Q94"/>
    <mergeCell ref="C95:Q95"/>
    <mergeCell ref="C96:Q96"/>
    <mergeCell ref="C97:Q97"/>
    <mergeCell ref="C98:Q98"/>
    <mergeCell ref="C99:Q99"/>
    <mergeCell ref="A114:Q114"/>
    <mergeCell ref="A118:Q118"/>
    <mergeCell ref="B119:Q119"/>
    <mergeCell ref="B120:Q120"/>
    <mergeCell ref="B109:C110"/>
    <mergeCell ref="B111:C112"/>
    <mergeCell ref="A107:A112"/>
    <mergeCell ref="D109:Q110"/>
    <mergeCell ref="D111:Q112"/>
    <mergeCell ref="B134:Q134"/>
    <mergeCell ref="B135:Q135"/>
    <mergeCell ref="A133:Q133"/>
    <mergeCell ref="B136:Q136"/>
    <mergeCell ref="B137:Q137"/>
    <mergeCell ref="B138:Q138"/>
    <mergeCell ref="B125:Q131"/>
    <mergeCell ref="A125:A131"/>
    <mergeCell ref="A124:Q12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R80"/>
  <sheetViews>
    <sheetView topLeftCell="A4" workbookViewId="0">
      <selection activeCell="B14" sqref="B14:Q17"/>
    </sheetView>
  </sheetViews>
  <sheetFormatPr defaultColWidth="8.7265625" defaultRowHeight="14.5" x14ac:dyDescent="0.35"/>
  <cols>
    <col min="1" max="1" width="16" customWidth="1"/>
    <col min="6" max="6" width="13.1796875" customWidth="1"/>
    <col min="13" max="13" width="10.54296875" customWidth="1"/>
    <col min="14" max="14" width="12.453125" customWidth="1"/>
    <col min="17" max="17" width="16.1796875" customWidth="1"/>
  </cols>
  <sheetData>
    <row r="1" spans="1:18" x14ac:dyDescent="0.35">
      <c r="B1" t="s">
        <v>217</v>
      </c>
    </row>
    <row r="2" spans="1:18" x14ac:dyDescent="0.35">
      <c r="B2" s="23"/>
    </row>
    <row r="3" spans="1:18" ht="15" customHeight="1" x14ac:dyDescent="0.35">
      <c r="A3" s="345" t="s">
        <v>218</v>
      </c>
      <c r="B3" s="192" t="s">
        <v>219</v>
      </c>
      <c r="C3" s="192"/>
      <c r="D3" s="192"/>
      <c r="E3" s="192"/>
      <c r="F3" s="192"/>
      <c r="G3" s="192"/>
      <c r="H3" s="192"/>
      <c r="I3" s="192"/>
      <c r="J3" s="192"/>
      <c r="K3" s="192"/>
      <c r="L3" s="192"/>
      <c r="M3" s="192"/>
      <c r="N3" s="192"/>
      <c r="O3" s="192"/>
      <c r="P3" s="192"/>
      <c r="Q3" s="192"/>
    </row>
    <row r="4" spans="1:18" x14ac:dyDescent="0.35">
      <c r="A4" s="345"/>
      <c r="B4" s="192"/>
      <c r="C4" s="192"/>
      <c r="D4" s="192"/>
      <c r="E4" s="192"/>
      <c r="F4" s="192"/>
      <c r="G4" s="192"/>
      <c r="H4" s="192"/>
      <c r="I4" s="192"/>
      <c r="J4" s="192"/>
      <c r="K4" s="192"/>
      <c r="L4" s="192"/>
      <c r="M4" s="192"/>
      <c r="N4" s="192"/>
      <c r="O4" s="192"/>
      <c r="P4" s="192"/>
      <c r="Q4" s="192"/>
    </row>
    <row r="5" spans="1:18" x14ac:dyDescent="0.35">
      <c r="A5" s="345"/>
      <c r="B5" s="192"/>
      <c r="C5" s="192"/>
      <c r="D5" s="192"/>
      <c r="E5" s="192"/>
      <c r="F5" s="192"/>
      <c r="G5" s="192"/>
      <c r="H5" s="192"/>
      <c r="I5" s="192"/>
      <c r="J5" s="192"/>
      <c r="K5" s="192"/>
      <c r="L5" s="192"/>
      <c r="M5" s="192"/>
      <c r="N5" s="192"/>
      <c r="O5" s="192"/>
      <c r="P5" s="192"/>
      <c r="Q5" s="192"/>
    </row>
    <row r="6" spans="1:18" ht="15" customHeight="1" x14ac:dyDescent="0.35">
      <c r="A6" s="345"/>
      <c r="B6" s="192" t="s">
        <v>220</v>
      </c>
      <c r="C6" s="192"/>
      <c r="D6" s="192"/>
      <c r="E6" s="192"/>
      <c r="F6" s="192"/>
      <c r="G6" s="192"/>
      <c r="H6" s="192"/>
      <c r="I6" s="192"/>
      <c r="J6" s="192"/>
      <c r="K6" s="192"/>
      <c r="L6" s="192"/>
      <c r="M6" s="192"/>
      <c r="N6" s="192"/>
      <c r="O6" s="192"/>
      <c r="P6" s="192"/>
      <c r="Q6" s="192"/>
    </row>
    <row r="7" spans="1:18" x14ac:dyDescent="0.35">
      <c r="A7" s="345"/>
      <c r="B7" s="192"/>
      <c r="C7" s="192"/>
      <c r="D7" s="192"/>
      <c r="E7" s="192"/>
      <c r="F7" s="192"/>
      <c r="G7" s="192"/>
      <c r="H7" s="192"/>
      <c r="I7" s="192"/>
      <c r="J7" s="192"/>
      <c r="K7" s="192"/>
      <c r="L7" s="192"/>
      <c r="M7" s="192"/>
      <c r="N7" s="192"/>
      <c r="O7" s="192"/>
      <c r="P7" s="192"/>
      <c r="Q7" s="192"/>
    </row>
    <row r="8" spans="1:18" x14ac:dyDescent="0.35">
      <c r="A8" s="345"/>
      <c r="B8" s="192"/>
      <c r="C8" s="192"/>
      <c r="D8" s="192"/>
      <c r="E8" s="192"/>
      <c r="F8" s="192"/>
      <c r="G8" s="192"/>
      <c r="H8" s="192"/>
      <c r="I8" s="192"/>
      <c r="J8" s="192"/>
      <c r="K8" s="192"/>
      <c r="L8" s="192"/>
      <c r="M8" s="192"/>
      <c r="N8" s="192"/>
      <c r="O8" s="192"/>
      <c r="P8" s="192"/>
      <c r="Q8" s="192"/>
    </row>
    <row r="9" spans="1:18" x14ac:dyDescent="0.35">
      <c r="A9" s="345"/>
      <c r="B9" s="192"/>
      <c r="C9" s="192"/>
      <c r="D9" s="192"/>
      <c r="E9" s="192"/>
      <c r="F9" s="192"/>
      <c r="G9" s="192"/>
      <c r="H9" s="192"/>
      <c r="I9" s="192"/>
      <c r="J9" s="192"/>
      <c r="K9" s="192"/>
      <c r="L9" s="192"/>
      <c r="M9" s="192"/>
      <c r="N9" s="192"/>
      <c r="O9" s="192"/>
      <c r="P9" s="192"/>
      <c r="Q9" s="192"/>
    </row>
    <row r="10" spans="1:18" ht="15" customHeight="1" x14ac:dyDescent="0.35">
      <c r="A10" s="345"/>
      <c r="B10" s="192" t="s">
        <v>221</v>
      </c>
      <c r="C10" s="192"/>
      <c r="D10" s="192"/>
      <c r="E10" s="192"/>
      <c r="F10" s="192"/>
      <c r="G10" s="192"/>
      <c r="H10" s="192"/>
      <c r="I10" s="192"/>
      <c r="J10" s="192"/>
      <c r="K10" s="192"/>
      <c r="L10" s="192"/>
      <c r="M10" s="192"/>
      <c r="N10" s="192"/>
      <c r="O10" s="192"/>
      <c r="P10" s="192"/>
      <c r="Q10" s="192"/>
    </row>
    <row r="11" spans="1:18" x14ac:dyDescent="0.35">
      <c r="A11" s="345"/>
      <c r="B11" s="192"/>
      <c r="C11" s="192"/>
      <c r="D11" s="192"/>
      <c r="E11" s="192"/>
      <c r="F11" s="192"/>
      <c r="G11" s="192"/>
      <c r="H11" s="192"/>
      <c r="I11" s="192"/>
      <c r="J11" s="192"/>
      <c r="K11" s="192"/>
      <c r="L11" s="192"/>
      <c r="M11" s="192"/>
      <c r="N11" s="192"/>
      <c r="O11" s="192"/>
      <c r="P11" s="192"/>
      <c r="Q11" s="192"/>
    </row>
    <row r="12" spans="1:18" x14ac:dyDescent="0.35">
      <c r="A12" s="345"/>
      <c r="B12" s="192"/>
      <c r="C12" s="192"/>
      <c r="D12" s="192"/>
      <c r="E12" s="192"/>
      <c r="F12" s="192"/>
      <c r="G12" s="192"/>
      <c r="H12" s="192"/>
      <c r="I12" s="192"/>
      <c r="J12" s="192"/>
      <c r="K12" s="192"/>
      <c r="L12" s="192"/>
      <c r="M12" s="192"/>
      <c r="N12" s="192"/>
      <c r="O12" s="192"/>
      <c r="P12" s="192"/>
      <c r="Q12" s="192"/>
    </row>
    <row r="13" spans="1:18" x14ac:dyDescent="0.35">
      <c r="A13" s="345"/>
      <c r="B13" s="192"/>
      <c r="C13" s="192"/>
      <c r="D13" s="192"/>
      <c r="E13" s="192"/>
      <c r="F13" s="192"/>
      <c r="G13" s="192"/>
      <c r="H13" s="192"/>
      <c r="I13" s="192"/>
      <c r="J13" s="192"/>
      <c r="K13" s="192"/>
      <c r="L13" s="192"/>
      <c r="M13" s="192"/>
      <c r="N13" s="192"/>
      <c r="O13" s="192"/>
      <c r="P13" s="192"/>
      <c r="Q13" s="192"/>
    </row>
    <row r="14" spans="1:18" ht="15" customHeight="1" x14ac:dyDescent="0.35">
      <c r="A14" s="345"/>
      <c r="B14" s="192" t="s">
        <v>222</v>
      </c>
      <c r="C14" s="192"/>
      <c r="D14" s="192"/>
      <c r="E14" s="192"/>
      <c r="F14" s="192"/>
      <c r="G14" s="192"/>
      <c r="H14" s="192"/>
      <c r="I14" s="192"/>
      <c r="J14" s="192"/>
      <c r="K14" s="192"/>
      <c r="L14" s="192"/>
      <c r="M14" s="192"/>
      <c r="N14" s="192"/>
      <c r="O14" s="192"/>
      <c r="P14" s="192"/>
      <c r="Q14" s="192"/>
      <c r="R14" s="2"/>
    </row>
    <row r="15" spans="1:18" x14ac:dyDescent="0.35">
      <c r="A15" s="345"/>
      <c r="B15" s="192"/>
      <c r="C15" s="192"/>
      <c r="D15" s="192"/>
      <c r="E15" s="192"/>
      <c r="F15" s="192"/>
      <c r="G15" s="192"/>
      <c r="H15" s="192"/>
      <c r="I15" s="192"/>
      <c r="J15" s="192"/>
      <c r="K15" s="192"/>
      <c r="L15" s="192"/>
      <c r="M15" s="192"/>
      <c r="N15" s="192"/>
      <c r="O15" s="192"/>
      <c r="P15" s="192"/>
      <c r="Q15" s="192"/>
      <c r="R15" s="2"/>
    </row>
    <row r="16" spans="1:18" x14ac:dyDescent="0.35">
      <c r="A16" s="345"/>
      <c r="B16" s="192"/>
      <c r="C16" s="192"/>
      <c r="D16" s="192"/>
      <c r="E16" s="192"/>
      <c r="F16" s="192"/>
      <c r="G16" s="192"/>
      <c r="H16" s="192"/>
      <c r="I16" s="192"/>
      <c r="J16" s="192"/>
      <c r="K16" s="192"/>
      <c r="L16" s="192"/>
      <c r="M16" s="192"/>
      <c r="N16" s="192"/>
      <c r="O16" s="192"/>
      <c r="P16" s="192"/>
      <c r="Q16" s="192"/>
      <c r="R16" s="2"/>
    </row>
    <row r="17" spans="1:18" x14ac:dyDescent="0.35">
      <c r="A17" s="345"/>
      <c r="B17" s="192"/>
      <c r="C17" s="192"/>
      <c r="D17" s="192"/>
      <c r="E17" s="192"/>
      <c r="F17" s="192"/>
      <c r="G17" s="192"/>
      <c r="H17" s="192"/>
      <c r="I17" s="192"/>
      <c r="J17" s="192"/>
      <c r="K17" s="192"/>
      <c r="L17" s="192"/>
      <c r="M17" s="192"/>
      <c r="N17" s="192"/>
      <c r="O17" s="192"/>
      <c r="P17" s="192"/>
      <c r="Q17" s="192"/>
      <c r="R17" s="2"/>
    </row>
    <row r="18" spans="1:18" x14ac:dyDescent="0.35">
      <c r="A18" s="3"/>
      <c r="B18" s="23"/>
      <c r="C18" t="s">
        <v>223</v>
      </c>
    </row>
    <row r="19" spans="1:18" ht="15" customHeight="1" x14ac:dyDescent="0.35">
      <c r="A19" s="346" t="s">
        <v>224</v>
      </c>
      <c r="B19" s="255" t="s">
        <v>57</v>
      </c>
      <c r="C19" s="192" t="s">
        <v>225</v>
      </c>
      <c r="D19" s="192"/>
      <c r="E19" s="192"/>
      <c r="F19" s="192"/>
      <c r="G19" s="192"/>
      <c r="H19" s="192"/>
      <c r="I19" s="192"/>
      <c r="J19" s="192"/>
      <c r="K19" s="192"/>
      <c r="L19" s="192"/>
      <c r="M19" s="192"/>
      <c r="N19" s="192"/>
      <c r="O19" s="192"/>
      <c r="P19" s="192"/>
      <c r="Q19" s="192"/>
    </row>
    <row r="20" spans="1:18" x14ac:dyDescent="0.35">
      <c r="A20" s="346"/>
      <c r="B20" s="255"/>
      <c r="C20" s="192"/>
      <c r="D20" s="192"/>
      <c r="E20" s="192"/>
      <c r="F20" s="192"/>
      <c r="G20" s="192"/>
      <c r="H20" s="192"/>
      <c r="I20" s="192"/>
      <c r="J20" s="192"/>
      <c r="K20" s="192"/>
      <c r="L20" s="192"/>
      <c r="M20" s="192"/>
      <c r="N20" s="192"/>
      <c r="O20" s="192"/>
      <c r="P20" s="192"/>
      <c r="Q20" s="192"/>
    </row>
    <row r="21" spans="1:18" ht="15" customHeight="1" x14ac:dyDescent="0.35">
      <c r="A21" s="346"/>
      <c r="B21" s="255" t="s">
        <v>83</v>
      </c>
      <c r="C21" s="192" t="s">
        <v>226</v>
      </c>
      <c r="D21" s="192"/>
      <c r="E21" s="192"/>
      <c r="F21" s="192"/>
      <c r="G21" s="192"/>
      <c r="H21" s="192"/>
      <c r="I21" s="192"/>
      <c r="J21" s="192"/>
      <c r="K21" s="192"/>
      <c r="L21" s="192"/>
      <c r="M21" s="192"/>
      <c r="N21" s="192"/>
      <c r="O21" s="192"/>
      <c r="P21" s="192"/>
      <c r="Q21" s="192"/>
    </row>
    <row r="22" spans="1:18" x14ac:dyDescent="0.35">
      <c r="A22" s="346"/>
      <c r="B22" s="255"/>
      <c r="C22" s="192"/>
      <c r="D22" s="192"/>
      <c r="E22" s="192"/>
      <c r="F22" s="192"/>
      <c r="G22" s="192"/>
      <c r="H22" s="192"/>
      <c r="I22" s="192"/>
      <c r="J22" s="192"/>
      <c r="K22" s="192"/>
      <c r="L22" s="192"/>
      <c r="M22" s="192"/>
      <c r="N22" s="192"/>
      <c r="O22" s="192"/>
      <c r="P22" s="192"/>
      <c r="Q22" s="192"/>
    </row>
    <row r="23" spans="1:18" ht="15.75" customHeight="1" x14ac:dyDescent="0.35">
      <c r="A23" s="346"/>
      <c r="B23" s="255" t="s">
        <v>227</v>
      </c>
      <c r="C23" s="344" t="s">
        <v>228</v>
      </c>
      <c r="D23" s="344"/>
      <c r="E23" s="344"/>
      <c r="F23" s="344"/>
      <c r="G23" s="344"/>
      <c r="H23" s="344"/>
      <c r="I23" s="344"/>
      <c r="J23" s="344"/>
      <c r="K23" s="344"/>
      <c r="L23" s="344"/>
      <c r="M23" s="344"/>
      <c r="N23" s="344"/>
      <c r="O23" s="344"/>
      <c r="P23" s="344"/>
      <c r="Q23" s="344"/>
    </row>
    <row r="24" spans="1:18" ht="15.75" customHeight="1" x14ac:dyDescent="0.35">
      <c r="A24" s="346"/>
      <c r="B24" s="255"/>
      <c r="C24" s="344"/>
      <c r="D24" s="344"/>
      <c r="E24" s="344"/>
      <c r="F24" s="344"/>
      <c r="G24" s="344"/>
      <c r="H24" s="344"/>
      <c r="I24" s="344"/>
      <c r="J24" s="344"/>
      <c r="K24" s="344"/>
      <c r="L24" s="344"/>
      <c r="M24" s="344"/>
      <c r="N24" s="344"/>
      <c r="O24" s="344"/>
      <c r="P24" s="344"/>
      <c r="Q24" s="344"/>
    </row>
    <row r="25" spans="1:18" ht="15.75" customHeight="1" x14ac:dyDescent="0.35">
      <c r="A25" s="346"/>
      <c r="B25" s="255"/>
      <c r="C25" s="344"/>
      <c r="D25" s="344"/>
      <c r="E25" s="344"/>
      <c r="F25" s="344"/>
      <c r="G25" s="344"/>
      <c r="H25" s="344"/>
      <c r="I25" s="344"/>
      <c r="J25" s="344"/>
      <c r="K25" s="344"/>
      <c r="L25" s="344"/>
      <c r="M25" s="344"/>
      <c r="N25" s="344"/>
      <c r="O25" s="344"/>
      <c r="P25" s="344"/>
      <c r="Q25" s="344"/>
    </row>
    <row r="26" spans="1:18" ht="15.75" customHeight="1" x14ac:dyDescent="0.35">
      <c r="A26" s="125"/>
      <c r="B26" s="97"/>
      <c r="C26" s="61"/>
      <c r="D26" s="61"/>
      <c r="E26" s="61"/>
      <c r="F26" s="61"/>
      <c r="G26" s="61"/>
      <c r="H26" s="61"/>
      <c r="I26" s="61"/>
      <c r="J26" s="61"/>
      <c r="K26" s="61"/>
      <c r="L26" s="61"/>
      <c r="M26" s="61"/>
      <c r="N26" s="61"/>
      <c r="O26" s="61"/>
      <c r="P26" s="61"/>
      <c r="Q26" s="61"/>
    </row>
    <row r="27" spans="1:18" x14ac:dyDescent="0.35">
      <c r="A27" s="343" t="s">
        <v>229</v>
      </c>
      <c r="B27" s="343"/>
      <c r="C27" s="195" t="s">
        <v>230</v>
      </c>
      <c r="D27" s="195"/>
      <c r="E27" s="195"/>
      <c r="F27" s="195"/>
      <c r="G27" s="195"/>
      <c r="H27" s="195"/>
      <c r="I27" s="195"/>
      <c r="J27" s="195"/>
      <c r="K27" s="195"/>
      <c r="L27" s="195"/>
      <c r="M27" s="195"/>
      <c r="N27" s="195"/>
      <c r="O27" s="195"/>
      <c r="P27" s="195"/>
      <c r="Q27" s="195"/>
    </row>
    <row r="28" spans="1:18" x14ac:dyDescent="0.35">
      <c r="B28" s="23"/>
    </row>
    <row r="29" spans="1:18" x14ac:dyDescent="0.35">
      <c r="A29" s="111" t="s">
        <v>231</v>
      </c>
      <c r="B29" s="21"/>
      <c r="C29" s="21"/>
      <c r="D29" s="21"/>
      <c r="E29" s="21"/>
      <c r="F29" s="21"/>
      <c r="G29" s="23"/>
      <c r="H29" s="23"/>
      <c r="I29" s="23"/>
      <c r="J29" s="23"/>
      <c r="K29" s="23"/>
      <c r="L29" s="23"/>
      <c r="M29" s="23"/>
      <c r="N29" s="23"/>
      <c r="O29" s="23"/>
      <c r="P29" s="23"/>
      <c r="Q29" s="23"/>
    </row>
    <row r="30" spans="1:18" ht="15" customHeight="1" x14ac:dyDescent="0.35">
      <c r="A30" s="382" t="s">
        <v>7</v>
      </c>
      <c r="B30" s="385"/>
      <c r="C30" s="386" t="s">
        <v>43</v>
      </c>
      <c r="D30" s="388" t="s">
        <v>232</v>
      </c>
      <c r="E30" s="389"/>
      <c r="F30" s="390"/>
      <c r="G30" s="394" t="s">
        <v>233</v>
      </c>
      <c r="H30" s="395"/>
      <c r="I30" s="395"/>
      <c r="J30" s="396"/>
      <c r="K30" s="313" t="s">
        <v>234</v>
      </c>
      <c r="L30" s="314"/>
      <c r="M30" s="372" t="s">
        <v>235</v>
      </c>
      <c r="N30" s="375" t="s">
        <v>236</v>
      </c>
      <c r="O30" s="375" t="s">
        <v>237</v>
      </c>
      <c r="P30" s="375" t="s">
        <v>238</v>
      </c>
      <c r="Q30" s="375" t="s">
        <v>239</v>
      </c>
    </row>
    <row r="31" spans="1:18" x14ac:dyDescent="0.35">
      <c r="A31" s="383"/>
      <c r="B31" s="385"/>
      <c r="C31" s="387"/>
      <c r="D31" s="391"/>
      <c r="E31" s="392"/>
      <c r="F31" s="393"/>
      <c r="G31" s="397"/>
      <c r="H31" s="398"/>
      <c r="I31" s="398"/>
      <c r="J31" s="399"/>
      <c r="K31" s="315"/>
      <c r="L31" s="316"/>
      <c r="M31" s="373"/>
      <c r="N31" s="376"/>
      <c r="O31" s="376"/>
      <c r="P31" s="376"/>
      <c r="Q31" s="376"/>
    </row>
    <row r="32" spans="1:18" x14ac:dyDescent="0.35">
      <c r="A32" s="384"/>
      <c r="B32" s="6" t="s">
        <v>240</v>
      </c>
      <c r="C32" s="98" t="s">
        <v>25</v>
      </c>
      <c r="D32" s="104" t="s">
        <v>241</v>
      </c>
      <c r="E32" s="378" t="s">
        <v>242</v>
      </c>
      <c r="F32" s="379"/>
      <c r="G32" s="380" t="s">
        <v>241</v>
      </c>
      <c r="H32" s="381"/>
      <c r="I32" s="380" t="s">
        <v>242</v>
      </c>
      <c r="J32" s="381"/>
      <c r="K32" s="317"/>
      <c r="L32" s="318"/>
      <c r="M32" s="374"/>
      <c r="N32" s="377"/>
      <c r="O32" s="377"/>
      <c r="P32" s="377"/>
      <c r="Q32" s="377"/>
    </row>
    <row r="33" spans="1:17" ht="39.5" x14ac:dyDescent="0.35">
      <c r="A33" s="136" t="s">
        <v>243</v>
      </c>
      <c r="B33" s="51" t="s">
        <v>244</v>
      </c>
      <c r="C33" s="99">
        <v>0.01</v>
      </c>
      <c r="D33" s="105">
        <v>0.01</v>
      </c>
      <c r="E33" s="350" t="s">
        <v>234</v>
      </c>
      <c r="F33" s="351"/>
      <c r="G33" s="352">
        <v>0.2</v>
      </c>
      <c r="H33" s="353"/>
      <c r="I33" s="370" t="s">
        <v>245</v>
      </c>
      <c r="J33" s="371"/>
      <c r="K33" s="364" t="s">
        <v>246</v>
      </c>
      <c r="L33" s="365"/>
      <c r="M33" s="22" t="s">
        <v>247</v>
      </c>
      <c r="N33" s="22" t="s">
        <v>248</v>
      </c>
      <c r="O33" s="22" t="s">
        <v>249</v>
      </c>
      <c r="P33" s="22" t="s">
        <v>250</v>
      </c>
      <c r="Q33" s="22" t="s">
        <v>251</v>
      </c>
    </row>
    <row r="34" spans="1:17" ht="26.5" x14ac:dyDescent="0.35">
      <c r="A34" s="136" t="s">
        <v>252</v>
      </c>
      <c r="B34" s="51" t="s">
        <v>253</v>
      </c>
      <c r="C34" s="99">
        <v>0.01</v>
      </c>
      <c r="D34" s="105">
        <v>0.1</v>
      </c>
      <c r="E34" s="350" t="s">
        <v>254</v>
      </c>
      <c r="F34" s="351"/>
      <c r="G34" s="352">
        <v>0.2</v>
      </c>
      <c r="H34" s="353"/>
      <c r="I34" s="352" t="s">
        <v>254</v>
      </c>
      <c r="J34" s="353"/>
      <c r="K34" s="364" t="s">
        <v>255</v>
      </c>
      <c r="L34" s="365"/>
      <c r="M34" s="22"/>
      <c r="N34" s="109"/>
      <c r="O34" s="110"/>
      <c r="P34" s="110"/>
      <c r="Q34" s="110"/>
    </row>
    <row r="35" spans="1:17" ht="64.5" customHeight="1" x14ac:dyDescent="0.35">
      <c r="A35" s="136" t="s">
        <v>256</v>
      </c>
      <c r="B35" s="51" t="s">
        <v>257</v>
      </c>
      <c r="C35" s="99">
        <v>35</v>
      </c>
      <c r="D35" s="105">
        <v>30</v>
      </c>
      <c r="E35" s="350" t="s">
        <v>258</v>
      </c>
      <c r="F35" s="351"/>
      <c r="G35" s="360">
        <v>25</v>
      </c>
      <c r="H35" s="361"/>
      <c r="I35" s="352" t="s">
        <v>258</v>
      </c>
      <c r="J35" s="353"/>
      <c r="K35" s="364" t="s">
        <v>259</v>
      </c>
      <c r="L35" s="365"/>
      <c r="M35" s="22" t="s">
        <v>260</v>
      </c>
      <c r="N35" s="22" t="s">
        <v>261</v>
      </c>
      <c r="O35" s="22" t="s">
        <v>262</v>
      </c>
      <c r="P35" s="22" t="s">
        <v>263</v>
      </c>
      <c r="Q35" s="22" t="s">
        <v>264</v>
      </c>
    </row>
    <row r="36" spans="1:17" ht="41.25" customHeight="1" x14ac:dyDescent="0.35">
      <c r="A36" s="136" t="s">
        <v>265</v>
      </c>
      <c r="B36" s="51" t="s">
        <v>266</v>
      </c>
      <c r="C36" s="99">
        <v>50</v>
      </c>
      <c r="D36" s="105">
        <v>50</v>
      </c>
      <c r="E36" s="350" t="s">
        <v>267</v>
      </c>
      <c r="F36" s="351"/>
      <c r="G36" s="360">
        <v>100</v>
      </c>
      <c r="H36" s="361"/>
      <c r="I36" s="352" t="s">
        <v>267</v>
      </c>
      <c r="J36" s="353"/>
      <c r="K36" s="364" t="s">
        <v>268</v>
      </c>
      <c r="L36" s="365"/>
      <c r="M36" s="22" t="s">
        <v>269</v>
      </c>
      <c r="N36" s="22" t="s">
        <v>270</v>
      </c>
      <c r="O36" s="22" t="s">
        <v>271</v>
      </c>
      <c r="P36" s="22" t="s">
        <v>272</v>
      </c>
      <c r="Q36" s="22" t="s">
        <v>273</v>
      </c>
    </row>
    <row r="37" spans="1:17" ht="41.25" customHeight="1" x14ac:dyDescent="0.35">
      <c r="A37" s="136" t="s">
        <v>274</v>
      </c>
      <c r="B37" s="51" t="s">
        <v>275</v>
      </c>
      <c r="C37" s="100">
        <v>15</v>
      </c>
      <c r="D37" s="106" t="s">
        <v>25</v>
      </c>
      <c r="E37" s="366" t="s">
        <v>25</v>
      </c>
      <c r="F37" s="367"/>
      <c r="G37" s="368" t="s">
        <v>25</v>
      </c>
      <c r="H37" s="369"/>
      <c r="I37" s="368" t="s">
        <v>25</v>
      </c>
      <c r="J37" s="369"/>
      <c r="K37" s="364" t="s">
        <v>276</v>
      </c>
      <c r="L37" s="365"/>
      <c r="M37" s="22" t="s">
        <v>277</v>
      </c>
      <c r="N37" s="22" t="s">
        <v>278</v>
      </c>
      <c r="O37" s="110" t="s">
        <v>279</v>
      </c>
      <c r="P37" s="110" t="s">
        <v>280</v>
      </c>
      <c r="Q37" s="110" t="s">
        <v>281</v>
      </c>
    </row>
    <row r="38" spans="1:17" ht="36.75" customHeight="1" x14ac:dyDescent="0.35">
      <c r="A38" s="136" t="s">
        <v>33</v>
      </c>
      <c r="B38" s="51" t="s">
        <v>275</v>
      </c>
      <c r="C38" s="99" t="s">
        <v>25</v>
      </c>
      <c r="D38" s="107" t="s">
        <v>282</v>
      </c>
      <c r="E38" s="362" t="s">
        <v>283</v>
      </c>
      <c r="F38" s="363"/>
      <c r="G38" s="358" t="s">
        <v>284</v>
      </c>
      <c r="H38" s="353"/>
      <c r="I38" s="358" t="s">
        <v>283</v>
      </c>
      <c r="J38" s="353"/>
      <c r="K38" s="364" t="s">
        <v>285</v>
      </c>
      <c r="L38" s="365"/>
      <c r="M38" s="22" t="s">
        <v>286</v>
      </c>
      <c r="N38" s="22" t="s">
        <v>287</v>
      </c>
      <c r="O38" s="22" t="s">
        <v>249</v>
      </c>
      <c r="P38" s="110" t="s">
        <v>288</v>
      </c>
      <c r="Q38" s="110" t="s">
        <v>289</v>
      </c>
    </row>
    <row r="39" spans="1:17" ht="26.5" x14ac:dyDescent="0.35">
      <c r="A39" s="136" t="s">
        <v>39</v>
      </c>
      <c r="B39" s="13" t="s">
        <v>290</v>
      </c>
      <c r="C39" s="101" t="s">
        <v>291</v>
      </c>
      <c r="D39" s="108" t="s">
        <v>25</v>
      </c>
      <c r="E39" s="350" t="s">
        <v>25</v>
      </c>
      <c r="F39" s="351"/>
      <c r="G39" s="352" t="s">
        <v>25</v>
      </c>
      <c r="H39" s="353"/>
      <c r="I39" s="352" t="s">
        <v>25</v>
      </c>
      <c r="J39" s="353"/>
      <c r="K39" s="354"/>
      <c r="L39" s="355"/>
      <c r="M39" s="51" t="s">
        <v>25</v>
      </c>
      <c r="N39" s="51" t="s">
        <v>25</v>
      </c>
      <c r="O39" s="51" t="s">
        <v>25</v>
      </c>
      <c r="P39" s="51" t="s">
        <v>25</v>
      </c>
      <c r="Q39" s="51" t="s">
        <v>25</v>
      </c>
    </row>
    <row r="40" spans="1:17" ht="26" x14ac:dyDescent="0.35">
      <c r="A40" s="136" t="s">
        <v>292</v>
      </c>
      <c r="B40" s="13" t="s">
        <v>293</v>
      </c>
      <c r="C40" s="102">
        <v>300</v>
      </c>
      <c r="D40" s="108" t="s">
        <v>25</v>
      </c>
      <c r="E40" s="350" t="s">
        <v>25</v>
      </c>
      <c r="F40" s="351"/>
      <c r="G40" s="352" t="s">
        <v>25</v>
      </c>
      <c r="H40" s="353"/>
      <c r="I40" s="352" t="s">
        <v>25</v>
      </c>
      <c r="J40" s="353"/>
      <c r="K40" s="354"/>
      <c r="L40" s="355"/>
      <c r="M40" s="51"/>
      <c r="N40" s="51"/>
      <c r="O40" s="51"/>
      <c r="P40" s="51"/>
      <c r="Q40" s="51"/>
    </row>
    <row r="41" spans="1:17" x14ac:dyDescent="0.35">
      <c r="A41" s="136" t="s">
        <v>294</v>
      </c>
      <c r="B41" s="13" t="s">
        <v>293</v>
      </c>
      <c r="C41" s="102">
        <v>340</v>
      </c>
      <c r="D41" s="108">
        <v>340</v>
      </c>
      <c r="E41" s="356" t="s">
        <v>295</v>
      </c>
      <c r="F41" s="357"/>
      <c r="G41" s="360">
        <v>340</v>
      </c>
      <c r="H41" s="361"/>
      <c r="I41" s="358" t="s">
        <v>295</v>
      </c>
      <c r="J41" s="359"/>
      <c r="K41" s="354"/>
      <c r="L41" s="355"/>
      <c r="M41" s="51"/>
      <c r="N41" s="51"/>
      <c r="O41" s="51"/>
      <c r="P41" s="51"/>
      <c r="Q41" s="51"/>
    </row>
    <row r="42" spans="1:17" ht="26" x14ac:dyDescent="0.35">
      <c r="A42" s="136" t="s">
        <v>296</v>
      </c>
      <c r="B42" s="13" t="s">
        <v>297</v>
      </c>
      <c r="C42" s="102">
        <v>-50</v>
      </c>
      <c r="D42" s="108" t="s">
        <v>25</v>
      </c>
      <c r="E42" s="350" t="s">
        <v>25</v>
      </c>
      <c r="F42" s="351"/>
      <c r="G42" s="352" t="s">
        <v>25</v>
      </c>
      <c r="H42" s="353"/>
      <c r="I42" s="352" t="s">
        <v>25</v>
      </c>
      <c r="J42" s="353"/>
      <c r="K42" s="354"/>
      <c r="L42" s="355"/>
      <c r="M42" s="51"/>
      <c r="N42" s="51"/>
      <c r="O42" s="51"/>
      <c r="P42" s="51"/>
      <c r="Q42" s="51"/>
    </row>
    <row r="43" spans="1:17" ht="26.5" x14ac:dyDescent="0.35">
      <c r="A43" s="136" t="s">
        <v>298</v>
      </c>
      <c r="B43" s="13" t="s">
        <v>299</v>
      </c>
      <c r="C43" s="101" t="s">
        <v>300</v>
      </c>
      <c r="D43" s="108" t="s">
        <v>25</v>
      </c>
      <c r="E43" s="350" t="s">
        <v>25</v>
      </c>
      <c r="F43" s="351"/>
      <c r="G43" s="352" t="s">
        <v>25</v>
      </c>
      <c r="H43" s="353"/>
      <c r="I43" s="352" t="s">
        <v>25</v>
      </c>
      <c r="J43" s="353"/>
      <c r="K43" s="354"/>
      <c r="L43" s="355"/>
      <c r="M43" s="51"/>
      <c r="N43" s="51"/>
      <c r="O43" s="51"/>
      <c r="P43" s="51"/>
      <c r="Q43" s="51"/>
    </row>
    <row r="44" spans="1:17" x14ac:dyDescent="0.35">
      <c r="A44" s="136" t="s">
        <v>301</v>
      </c>
      <c r="B44" s="13" t="s">
        <v>302</v>
      </c>
      <c r="C44" s="101" t="s">
        <v>303</v>
      </c>
      <c r="D44" s="108" t="s">
        <v>304</v>
      </c>
      <c r="E44" s="356" t="s">
        <v>305</v>
      </c>
      <c r="F44" s="357"/>
      <c r="G44" s="352" t="s">
        <v>304</v>
      </c>
      <c r="H44" s="353"/>
      <c r="I44" s="358" t="s">
        <v>305</v>
      </c>
      <c r="J44" s="359"/>
      <c r="K44" s="354"/>
      <c r="L44" s="355"/>
      <c r="M44" s="51"/>
      <c r="N44" s="51"/>
      <c r="O44" s="51"/>
      <c r="P44" s="51"/>
      <c r="Q44" s="51"/>
    </row>
    <row r="45" spans="1:17" ht="26" x14ac:dyDescent="0.35">
      <c r="A45" s="136" t="s">
        <v>306</v>
      </c>
      <c r="B45" s="13" t="s">
        <v>307</v>
      </c>
      <c r="C45" s="101" t="s">
        <v>308</v>
      </c>
      <c r="D45" s="108" t="s">
        <v>25</v>
      </c>
      <c r="E45" s="350" t="s">
        <v>25</v>
      </c>
      <c r="F45" s="351"/>
      <c r="G45" s="352" t="s">
        <v>25</v>
      </c>
      <c r="H45" s="353"/>
      <c r="I45" s="352" t="s">
        <v>25</v>
      </c>
      <c r="J45" s="353"/>
      <c r="K45" s="354"/>
      <c r="L45" s="355"/>
      <c r="M45" s="51"/>
      <c r="N45" s="51"/>
      <c r="O45" s="51"/>
      <c r="P45" s="51"/>
      <c r="Q45" s="51"/>
    </row>
    <row r="46" spans="1:17" ht="26" x14ac:dyDescent="0.35">
      <c r="A46" s="136" t="s">
        <v>309</v>
      </c>
      <c r="B46" s="13" t="s">
        <v>307</v>
      </c>
      <c r="C46" s="101" t="s">
        <v>310</v>
      </c>
      <c r="D46" s="108" t="s">
        <v>25</v>
      </c>
      <c r="E46" s="350" t="s">
        <v>25</v>
      </c>
      <c r="F46" s="351"/>
      <c r="G46" s="352" t="s">
        <v>25</v>
      </c>
      <c r="H46" s="353"/>
      <c r="I46" s="352" t="s">
        <v>25</v>
      </c>
      <c r="J46" s="353"/>
      <c r="K46" s="354"/>
      <c r="L46" s="355"/>
      <c r="M46" s="51"/>
      <c r="N46" s="51"/>
      <c r="O46" s="51"/>
      <c r="P46" s="51"/>
      <c r="Q46" s="51"/>
    </row>
    <row r="47" spans="1:17" ht="26" x14ac:dyDescent="0.35">
      <c r="A47" s="136" t="s">
        <v>311</v>
      </c>
      <c r="B47" s="51" t="s">
        <v>312</v>
      </c>
      <c r="C47" s="103">
        <v>0.5</v>
      </c>
      <c r="D47" s="105" t="s">
        <v>25</v>
      </c>
      <c r="E47" s="350" t="s">
        <v>25</v>
      </c>
      <c r="F47" s="351"/>
      <c r="G47" s="352" t="s">
        <v>25</v>
      </c>
      <c r="H47" s="353"/>
      <c r="I47" s="352" t="s">
        <v>25</v>
      </c>
      <c r="J47" s="353"/>
      <c r="K47" s="354"/>
      <c r="L47" s="355"/>
      <c r="M47" s="51"/>
      <c r="N47" s="51"/>
      <c r="O47" s="51"/>
      <c r="P47" s="51"/>
      <c r="Q47" s="51"/>
    </row>
    <row r="48" spans="1:17" x14ac:dyDescent="0.35">
      <c r="B48" s="23"/>
    </row>
    <row r="49" spans="1:16" x14ac:dyDescent="0.35">
      <c r="B49" s="23"/>
    </row>
    <row r="50" spans="1:16" x14ac:dyDescent="0.35">
      <c r="A50" s="39" t="s">
        <v>313</v>
      </c>
      <c r="B50" s="23"/>
    </row>
    <row r="51" spans="1:16" x14ac:dyDescent="0.35">
      <c r="B51" s="23"/>
    </row>
    <row r="52" spans="1:16" x14ac:dyDescent="0.35">
      <c r="A52" s="14"/>
      <c r="B52" s="15" t="s">
        <v>314</v>
      </c>
      <c r="C52" s="16" t="s">
        <v>315</v>
      </c>
      <c r="D52" s="16" t="s">
        <v>316</v>
      </c>
      <c r="E52" s="16" t="s">
        <v>74</v>
      </c>
      <c r="F52" s="16" t="s">
        <v>75</v>
      </c>
      <c r="G52" s="16" t="s">
        <v>76</v>
      </c>
      <c r="H52" s="16" t="s">
        <v>77</v>
      </c>
      <c r="I52" s="16" t="s">
        <v>78</v>
      </c>
      <c r="J52" s="16" t="s">
        <v>79</v>
      </c>
    </row>
    <row r="53" spans="1:16" x14ac:dyDescent="0.35">
      <c r="A53" s="17" t="s">
        <v>317</v>
      </c>
      <c r="B53" s="130">
        <v>200</v>
      </c>
      <c r="C53" s="130" t="s">
        <v>25</v>
      </c>
      <c r="D53" s="130" t="s">
        <v>25</v>
      </c>
      <c r="E53" s="130">
        <v>100</v>
      </c>
      <c r="F53" s="130">
        <v>3000</v>
      </c>
      <c r="G53" s="130">
        <v>30000</v>
      </c>
      <c r="H53" s="130">
        <v>30</v>
      </c>
      <c r="I53" s="130">
        <v>30</v>
      </c>
      <c r="J53" s="130">
        <v>1</v>
      </c>
      <c r="K53" t="s">
        <v>318</v>
      </c>
    </row>
    <row r="54" spans="1:16" x14ac:dyDescent="0.35">
      <c r="A54" s="17" t="s">
        <v>41</v>
      </c>
      <c r="B54" s="130" t="s">
        <v>25</v>
      </c>
      <c r="C54" s="130" t="s">
        <v>25</v>
      </c>
      <c r="D54" s="130" t="s">
        <v>25</v>
      </c>
      <c r="E54" s="130" t="s">
        <v>25</v>
      </c>
      <c r="F54" s="130" t="s">
        <v>25</v>
      </c>
      <c r="G54" s="130" t="s">
        <v>25</v>
      </c>
      <c r="H54" s="130" t="s">
        <v>25</v>
      </c>
      <c r="I54" s="130" t="s">
        <v>25</v>
      </c>
      <c r="J54" s="130" t="s">
        <v>25</v>
      </c>
    </row>
    <row r="55" spans="1:16" x14ac:dyDescent="0.35">
      <c r="B55" s="347" t="s">
        <v>319</v>
      </c>
      <c r="C55" s="347"/>
      <c r="D55" s="347"/>
      <c r="E55" s="347"/>
      <c r="F55" s="347"/>
      <c r="G55" s="347"/>
      <c r="H55" s="347"/>
      <c r="I55" s="347"/>
      <c r="J55" s="347"/>
      <c r="K55" s="347"/>
      <c r="L55" s="347"/>
      <c r="M55" s="347"/>
    </row>
    <row r="56" spans="1:16" x14ac:dyDescent="0.35">
      <c r="B56" s="347" t="s">
        <v>320</v>
      </c>
      <c r="C56" s="347"/>
      <c r="D56" s="347"/>
      <c r="E56" s="347"/>
      <c r="F56" s="347"/>
      <c r="G56" s="347"/>
      <c r="H56" s="347"/>
      <c r="I56" s="347"/>
      <c r="J56" s="347"/>
      <c r="K56" s="347"/>
      <c r="L56" s="347"/>
    </row>
    <row r="57" spans="1:16" x14ac:dyDescent="0.35">
      <c r="B57" s="348" t="s">
        <v>321</v>
      </c>
      <c r="C57" s="348"/>
      <c r="D57" s="348"/>
      <c r="E57" s="348"/>
      <c r="F57" s="348"/>
      <c r="G57" s="348"/>
      <c r="H57" s="348"/>
      <c r="I57" s="348"/>
      <c r="J57" s="348"/>
      <c r="K57" s="348"/>
      <c r="L57" s="348"/>
      <c r="M57" s="348"/>
    </row>
    <row r="58" spans="1:16" x14ac:dyDescent="0.35">
      <c r="B58" s="91" t="s">
        <v>322</v>
      </c>
    </row>
    <row r="59" spans="1:16" x14ac:dyDescent="0.35">
      <c r="B59" s="349" t="s">
        <v>323</v>
      </c>
      <c r="C59" s="349"/>
      <c r="D59" s="349"/>
      <c r="E59" s="349"/>
      <c r="F59" s="349"/>
      <c r="G59" s="349"/>
      <c r="H59" s="349"/>
      <c r="I59" s="349"/>
      <c r="J59" s="349"/>
      <c r="K59" s="349"/>
      <c r="L59" s="349"/>
      <c r="M59" s="349"/>
      <c r="N59" s="349"/>
      <c r="O59" s="349"/>
      <c r="P59" s="349"/>
    </row>
    <row r="60" spans="1:16" x14ac:dyDescent="0.35">
      <c r="B60" s="23"/>
    </row>
    <row r="61" spans="1:16" x14ac:dyDescent="0.35">
      <c r="B61" s="23"/>
    </row>
    <row r="62" spans="1:16" x14ac:dyDescent="0.35">
      <c r="B62" s="23"/>
    </row>
    <row r="63" spans="1:16" x14ac:dyDescent="0.35">
      <c r="B63" s="23"/>
    </row>
    <row r="64" spans="1:16" x14ac:dyDescent="0.35">
      <c r="B64" s="23"/>
    </row>
    <row r="65" spans="2:2" x14ac:dyDescent="0.35">
      <c r="B65" s="23"/>
    </row>
    <row r="66" spans="2:2" x14ac:dyDescent="0.35">
      <c r="B66" s="23"/>
    </row>
    <row r="67" spans="2:2" x14ac:dyDescent="0.35">
      <c r="B67" s="23"/>
    </row>
    <row r="68" spans="2:2" x14ac:dyDescent="0.35">
      <c r="B68" s="23"/>
    </row>
    <row r="69" spans="2:2" x14ac:dyDescent="0.35">
      <c r="B69" s="23"/>
    </row>
    <row r="70" spans="2:2" x14ac:dyDescent="0.35">
      <c r="B70" s="23"/>
    </row>
    <row r="71" spans="2:2" x14ac:dyDescent="0.35">
      <c r="B71" s="23"/>
    </row>
    <row r="72" spans="2:2" x14ac:dyDescent="0.35">
      <c r="B72" s="23"/>
    </row>
    <row r="73" spans="2:2" x14ac:dyDescent="0.35">
      <c r="B73" s="23"/>
    </row>
    <row r="74" spans="2:2" x14ac:dyDescent="0.35">
      <c r="B74" s="23"/>
    </row>
    <row r="75" spans="2:2" x14ac:dyDescent="0.35">
      <c r="B75" s="23"/>
    </row>
    <row r="76" spans="2:2" x14ac:dyDescent="0.35">
      <c r="B76" s="23"/>
    </row>
    <row r="77" spans="2:2" x14ac:dyDescent="0.35">
      <c r="B77" s="23"/>
    </row>
    <row r="78" spans="2:2" x14ac:dyDescent="0.35">
      <c r="B78" s="23"/>
    </row>
    <row r="79" spans="2:2" x14ac:dyDescent="0.35">
      <c r="B79" s="23"/>
    </row>
    <row r="80" spans="2:2" x14ac:dyDescent="0.35">
      <c r="B80" s="23"/>
    </row>
  </sheetData>
  <mergeCells count="92">
    <mergeCell ref="A30:A32"/>
    <mergeCell ref="B30:B31"/>
    <mergeCell ref="C30:C31"/>
    <mergeCell ref="D30:F31"/>
    <mergeCell ref="G30:J31"/>
    <mergeCell ref="E33:F33"/>
    <mergeCell ref="G33:H33"/>
    <mergeCell ref="I33:J33"/>
    <mergeCell ref="K33:L33"/>
    <mergeCell ref="C27:Q27"/>
    <mergeCell ref="K30:L32"/>
    <mergeCell ref="M30:M32"/>
    <mergeCell ref="N30:N32"/>
    <mergeCell ref="O30:O32"/>
    <mergeCell ref="P30:P32"/>
    <mergeCell ref="Q30:Q32"/>
    <mergeCell ref="E32:F32"/>
    <mergeCell ref="G32:H32"/>
    <mergeCell ref="I32:J32"/>
    <mergeCell ref="E34:F34"/>
    <mergeCell ref="G34:H34"/>
    <mergeCell ref="I34:J34"/>
    <mergeCell ref="K34:L34"/>
    <mergeCell ref="E35:F35"/>
    <mergeCell ref="G35:H35"/>
    <mergeCell ref="I35:J35"/>
    <mergeCell ref="K35:L35"/>
    <mergeCell ref="E36:F36"/>
    <mergeCell ref="G36:H36"/>
    <mergeCell ref="I36:J36"/>
    <mergeCell ref="K36:L36"/>
    <mergeCell ref="E37:F37"/>
    <mergeCell ref="G37:H37"/>
    <mergeCell ref="I37:J37"/>
    <mergeCell ref="K37:L37"/>
    <mergeCell ref="E38:F38"/>
    <mergeCell ref="G38:H38"/>
    <mergeCell ref="I38:J38"/>
    <mergeCell ref="K38:L38"/>
    <mergeCell ref="E39:F39"/>
    <mergeCell ref="G39:H39"/>
    <mergeCell ref="I39:J39"/>
    <mergeCell ref="K39:L39"/>
    <mergeCell ref="E40:F40"/>
    <mergeCell ref="G40:H40"/>
    <mergeCell ref="I40:J40"/>
    <mergeCell ref="K40:L40"/>
    <mergeCell ref="E41:F41"/>
    <mergeCell ref="G41:H41"/>
    <mergeCell ref="I41:J41"/>
    <mergeCell ref="K41:L41"/>
    <mergeCell ref="E42:F42"/>
    <mergeCell ref="G42:H42"/>
    <mergeCell ref="I42:J42"/>
    <mergeCell ref="K42:L42"/>
    <mergeCell ref="E43:F43"/>
    <mergeCell ref="G43:H43"/>
    <mergeCell ref="I43:J43"/>
    <mergeCell ref="K43:L43"/>
    <mergeCell ref="E44:F44"/>
    <mergeCell ref="G44:H44"/>
    <mergeCell ref="I44:J44"/>
    <mergeCell ref="K44:L44"/>
    <mergeCell ref="E45:F45"/>
    <mergeCell ref="G45:H45"/>
    <mergeCell ref="I45:J45"/>
    <mergeCell ref="K45:L45"/>
    <mergeCell ref="B55:M55"/>
    <mergeCell ref="B56:L56"/>
    <mergeCell ref="B57:M57"/>
    <mergeCell ref="B59:P59"/>
    <mergeCell ref="E46:F46"/>
    <mergeCell ref="G46:H46"/>
    <mergeCell ref="I46:J46"/>
    <mergeCell ref="K46:L46"/>
    <mergeCell ref="E47:F47"/>
    <mergeCell ref="G47:H47"/>
    <mergeCell ref="I47:J47"/>
    <mergeCell ref="K47:L47"/>
    <mergeCell ref="A27:B27"/>
    <mergeCell ref="B23:B25"/>
    <mergeCell ref="C23:Q25"/>
    <mergeCell ref="A3:A17"/>
    <mergeCell ref="A19:A25"/>
    <mergeCell ref="B14:Q17"/>
    <mergeCell ref="B19:B20"/>
    <mergeCell ref="C19:Q20"/>
    <mergeCell ref="B21:B22"/>
    <mergeCell ref="C21:Q22"/>
    <mergeCell ref="B3:Q5"/>
    <mergeCell ref="B6:Q9"/>
    <mergeCell ref="B10:Q1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R42"/>
  <sheetViews>
    <sheetView workbookViewId="0">
      <selection activeCell="C5" sqref="C5:Q5"/>
    </sheetView>
  </sheetViews>
  <sheetFormatPr defaultColWidth="8.7265625" defaultRowHeight="14.5" x14ac:dyDescent="0.35"/>
  <cols>
    <col min="1" max="1" width="20.453125" customWidth="1"/>
  </cols>
  <sheetData>
    <row r="1" spans="1:17" x14ac:dyDescent="0.35">
      <c r="B1" s="23"/>
      <c r="C1" s="408" t="s">
        <v>324</v>
      </c>
      <c r="D1" s="408"/>
      <c r="E1" s="408"/>
      <c r="F1" s="408"/>
      <c r="G1" s="408"/>
      <c r="H1" s="408"/>
    </row>
    <row r="2" spans="1:17" x14ac:dyDescent="0.35">
      <c r="B2" s="23"/>
    </row>
    <row r="3" spans="1:17" ht="61.5" customHeight="1" x14ac:dyDescent="0.35">
      <c r="A3" s="142" t="s">
        <v>218</v>
      </c>
      <c r="B3" s="400" t="s">
        <v>325</v>
      </c>
      <c r="C3" s="400"/>
      <c r="D3" s="400"/>
      <c r="E3" s="400"/>
      <c r="F3" s="400"/>
      <c r="G3" s="400"/>
      <c r="H3" s="400"/>
      <c r="I3" s="400"/>
      <c r="J3" s="400"/>
      <c r="K3" s="400"/>
      <c r="L3" s="400"/>
      <c r="M3" s="400"/>
      <c r="N3" s="400"/>
      <c r="O3" s="400"/>
      <c r="P3" s="400"/>
      <c r="Q3" s="400"/>
    </row>
    <row r="4" spans="1:17" x14ac:dyDescent="0.35">
      <c r="A4" s="3"/>
      <c r="B4" s="23"/>
      <c r="C4" t="s">
        <v>223</v>
      </c>
    </row>
    <row r="5" spans="1:17" ht="33" customHeight="1" x14ac:dyDescent="0.35">
      <c r="A5" s="415" t="s">
        <v>224</v>
      </c>
      <c r="B5" s="23" t="s">
        <v>57</v>
      </c>
      <c r="C5" s="400" t="s">
        <v>326</v>
      </c>
      <c r="D5" s="400"/>
      <c r="E5" s="400"/>
      <c r="F5" s="400"/>
      <c r="G5" s="400"/>
      <c r="H5" s="400"/>
      <c r="I5" s="400"/>
      <c r="J5" s="400"/>
      <c r="K5" s="400"/>
      <c r="L5" s="400"/>
      <c r="M5" s="400"/>
      <c r="N5" s="400"/>
      <c r="O5" s="400"/>
      <c r="P5" s="400"/>
      <c r="Q5" s="400"/>
    </row>
    <row r="6" spans="1:17" ht="33" customHeight="1" x14ac:dyDescent="0.35">
      <c r="A6" s="415"/>
      <c r="B6" s="23" t="s">
        <v>83</v>
      </c>
      <c r="C6" s="400" t="s">
        <v>327</v>
      </c>
      <c r="D6" s="400"/>
      <c r="E6" s="400"/>
      <c r="F6" s="400"/>
      <c r="G6" s="400"/>
      <c r="H6" s="400"/>
      <c r="I6" s="400"/>
      <c r="J6" s="400"/>
      <c r="K6" s="400"/>
      <c r="L6" s="400"/>
      <c r="M6" s="400"/>
      <c r="N6" s="400"/>
      <c r="O6" s="400"/>
      <c r="P6" s="400"/>
      <c r="Q6" s="400"/>
    </row>
    <row r="7" spans="1:17" ht="45" customHeight="1" x14ac:dyDescent="0.35">
      <c r="A7" s="415"/>
      <c r="B7" t="s">
        <v>227</v>
      </c>
      <c r="C7" s="401" t="s">
        <v>328</v>
      </c>
      <c r="D7" s="401"/>
      <c r="E7" s="401"/>
      <c r="F7" s="401"/>
      <c r="G7" s="401"/>
      <c r="H7" s="401"/>
      <c r="I7" s="401"/>
      <c r="J7" s="401"/>
      <c r="K7" s="401"/>
      <c r="L7" s="401"/>
      <c r="M7" s="401"/>
      <c r="N7" s="401"/>
      <c r="O7" s="401"/>
      <c r="P7" s="401"/>
      <c r="Q7" s="401"/>
    </row>
    <row r="8" spans="1:17" ht="18" customHeight="1" x14ac:dyDescent="0.35">
      <c r="A8" s="5" t="s">
        <v>229</v>
      </c>
      <c r="B8" s="23"/>
      <c r="C8" s="323" t="s">
        <v>329</v>
      </c>
      <c r="D8" s="323"/>
      <c r="E8" s="323"/>
      <c r="F8" s="323"/>
      <c r="G8" s="323"/>
      <c r="H8" s="323"/>
      <c r="I8" s="323"/>
      <c r="J8" s="323"/>
      <c r="K8" s="323"/>
      <c r="L8" s="323"/>
      <c r="M8" s="323"/>
      <c r="N8" s="323"/>
      <c r="O8" s="323"/>
      <c r="P8" s="323"/>
      <c r="Q8" s="323"/>
    </row>
    <row r="9" spans="1:17" x14ac:dyDescent="0.35">
      <c r="A9" s="409"/>
      <c r="B9" s="409"/>
      <c r="C9" s="409"/>
      <c r="D9" s="409"/>
      <c r="G9" s="410"/>
      <c r="H9" s="410"/>
      <c r="I9" s="410"/>
      <c r="J9" s="410"/>
      <c r="K9" s="410"/>
      <c r="L9" s="410"/>
      <c r="M9" s="23"/>
      <c r="N9" s="23"/>
      <c r="O9" s="23"/>
      <c r="P9" s="23"/>
      <c r="Q9" s="23"/>
    </row>
    <row r="10" spans="1:17" ht="15" customHeight="1" x14ac:dyDescent="0.35">
      <c r="A10" s="382" t="s">
        <v>7</v>
      </c>
      <c r="B10" s="411"/>
      <c r="C10" s="411" t="s">
        <v>43</v>
      </c>
      <c r="D10" s="411" t="s">
        <v>233</v>
      </c>
      <c r="E10" s="24"/>
      <c r="F10" s="25"/>
      <c r="G10" s="413"/>
      <c r="H10" s="414"/>
      <c r="I10" s="414"/>
      <c r="J10" s="414"/>
      <c r="K10" s="414"/>
      <c r="L10" s="414"/>
      <c r="M10" s="414"/>
      <c r="N10" s="414"/>
      <c r="O10" s="414"/>
      <c r="P10" s="414"/>
      <c r="Q10" s="414"/>
    </row>
    <row r="11" spans="1:17" x14ac:dyDescent="0.35">
      <c r="A11" s="383"/>
      <c r="B11" s="412"/>
      <c r="C11" s="412"/>
      <c r="D11" s="412"/>
      <c r="E11" s="24"/>
      <c r="F11" s="25"/>
      <c r="G11" s="413"/>
      <c r="H11" s="414"/>
      <c r="I11" s="414"/>
      <c r="J11" s="414"/>
      <c r="K11" s="414"/>
      <c r="L11" s="414"/>
      <c r="M11" s="414"/>
      <c r="N11" s="414"/>
      <c r="O11" s="414"/>
      <c r="P11" s="414"/>
      <c r="Q11" s="414"/>
    </row>
    <row r="12" spans="1:17" x14ac:dyDescent="0.35">
      <c r="A12" s="384"/>
      <c r="B12" s="6" t="s">
        <v>240</v>
      </c>
      <c r="C12" s="50" t="s">
        <v>25</v>
      </c>
      <c r="D12" s="26" t="s">
        <v>25</v>
      </c>
      <c r="E12" s="27"/>
      <c r="F12" s="28"/>
      <c r="G12" s="413"/>
      <c r="H12" s="29"/>
      <c r="I12" s="140"/>
      <c r="J12" s="30"/>
      <c r="K12" s="75"/>
      <c r="L12" s="75"/>
      <c r="M12" s="30"/>
      <c r="N12" s="30"/>
      <c r="O12" s="30"/>
      <c r="P12" s="30"/>
      <c r="Q12" s="30"/>
    </row>
    <row r="13" spans="1:17" x14ac:dyDescent="0.35">
      <c r="A13" s="42" t="s">
        <v>243</v>
      </c>
      <c r="B13" s="51" t="s">
        <v>244</v>
      </c>
      <c r="C13" s="31">
        <v>0.03</v>
      </c>
      <c r="D13" s="49">
        <v>2</v>
      </c>
      <c r="E13" s="402"/>
      <c r="F13" s="403"/>
      <c r="G13" s="75"/>
      <c r="H13" s="75"/>
      <c r="I13" s="75"/>
      <c r="J13" s="75"/>
      <c r="K13" s="75"/>
      <c r="L13" s="75"/>
      <c r="M13" s="75"/>
      <c r="N13" s="75"/>
      <c r="O13" s="75"/>
      <c r="P13" s="75"/>
      <c r="Q13" s="75"/>
    </row>
    <row r="14" spans="1:17" x14ac:dyDescent="0.35">
      <c r="A14" s="42" t="s">
        <v>330</v>
      </c>
      <c r="B14" s="51" t="s">
        <v>331</v>
      </c>
      <c r="C14" s="31" t="s">
        <v>332</v>
      </c>
      <c r="D14" s="56" t="s">
        <v>333</v>
      </c>
      <c r="E14" s="402"/>
      <c r="F14" s="403"/>
      <c r="G14" s="34" t="s">
        <v>334</v>
      </c>
      <c r="H14" s="75"/>
      <c r="I14" s="75"/>
      <c r="J14" s="75"/>
      <c r="K14" s="75"/>
      <c r="L14" s="75"/>
      <c r="M14" s="75"/>
      <c r="N14" s="75"/>
      <c r="O14" s="32"/>
      <c r="P14" s="32"/>
      <c r="Q14" s="32"/>
    </row>
    <row r="15" spans="1:17" x14ac:dyDescent="0.35">
      <c r="A15" s="42" t="s">
        <v>256</v>
      </c>
      <c r="B15" s="51" t="s">
        <v>335</v>
      </c>
      <c r="C15" s="31">
        <v>45</v>
      </c>
      <c r="D15" s="56">
        <v>30</v>
      </c>
      <c r="E15" s="402"/>
      <c r="F15" s="403"/>
      <c r="G15" s="34" t="s">
        <v>336</v>
      </c>
      <c r="H15" s="75"/>
      <c r="I15" s="75"/>
      <c r="J15" s="75"/>
      <c r="K15" s="75"/>
      <c r="L15" s="75"/>
      <c r="M15" s="75"/>
      <c r="N15" s="75"/>
      <c r="O15" s="75"/>
      <c r="P15" s="75"/>
      <c r="Q15" s="75"/>
    </row>
    <row r="16" spans="1:17" x14ac:dyDescent="0.35">
      <c r="A16" s="42" t="s">
        <v>265</v>
      </c>
      <c r="B16" s="51" t="s">
        <v>266</v>
      </c>
      <c r="C16" s="31">
        <v>200</v>
      </c>
      <c r="D16" s="56">
        <v>400</v>
      </c>
      <c r="E16" s="139"/>
      <c r="F16" s="140"/>
      <c r="G16" s="75"/>
      <c r="H16" s="75"/>
      <c r="I16" s="75"/>
      <c r="J16" s="75"/>
      <c r="K16" s="75"/>
      <c r="L16" s="75"/>
      <c r="M16" s="75"/>
      <c r="N16" s="75"/>
      <c r="O16" s="75"/>
      <c r="P16" s="75"/>
      <c r="Q16" s="75"/>
    </row>
    <row r="17" spans="1:18" x14ac:dyDescent="0.35">
      <c r="A17" s="42" t="s">
        <v>33</v>
      </c>
      <c r="B17" s="51" t="s">
        <v>337</v>
      </c>
      <c r="C17" s="404" t="s">
        <v>338</v>
      </c>
      <c r="D17" s="405"/>
      <c r="E17" s="402"/>
      <c r="F17" s="403"/>
      <c r="G17" s="75"/>
      <c r="H17" s="75"/>
      <c r="I17" s="29"/>
      <c r="J17" s="75"/>
      <c r="K17" s="29"/>
      <c r="L17" s="29"/>
      <c r="M17" s="29"/>
      <c r="N17" s="29"/>
      <c r="O17" s="75"/>
      <c r="P17" s="75"/>
      <c r="Q17" s="75"/>
    </row>
    <row r="18" spans="1:18" x14ac:dyDescent="0.35">
      <c r="A18" s="42" t="s">
        <v>39</v>
      </c>
      <c r="B18" s="51"/>
      <c r="C18" s="33">
        <v>1</v>
      </c>
      <c r="D18" s="56" t="s">
        <v>25</v>
      </c>
      <c r="E18" s="406"/>
      <c r="F18" s="407"/>
      <c r="G18" s="75"/>
      <c r="H18" s="75"/>
      <c r="I18" s="29"/>
      <c r="J18" s="75"/>
      <c r="K18" s="75"/>
      <c r="L18" s="75"/>
      <c r="M18" s="75"/>
      <c r="N18" s="75"/>
      <c r="O18" s="75"/>
      <c r="P18" s="75"/>
      <c r="Q18" s="75"/>
    </row>
    <row r="19" spans="1:18" x14ac:dyDescent="0.35">
      <c r="B19" s="23"/>
    </row>
    <row r="20" spans="1:18" x14ac:dyDescent="0.35">
      <c r="A20" t="s">
        <v>339</v>
      </c>
      <c r="B20" s="23"/>
    </row>
    <row r="21" spans="1:18" x14ac:dyDescent="0.35">
      <c r="B21" s="23"/>
    </row>
    <row r="22" spans="1:18" x14ac:dyDescent="0.35">
      <c r="A22" s="14"/>
      <c r="B22" s="37" t="s">
        <v>314</v>
      </c>
      <c r="C22" s="37" t="s">
        <v>315</v>
      </c>
      <c r="D22" s="37" t="s">
        <v>316</v>
      </c>
      <c r="E22" s="37" t="s">
        <v>74</v>
      </c>
      <c r="F22" s="37" t="s">
        <v>75</v>
      </c>
      <c r="G22" s="37" t="s">
        <v>76</v>
      </c>
      <c r="H22" s="37" t="s">
        <v>77</v>
      </c>
      <c r="I22" s="37" t="s">
        <v>78</v>
      </c>
      <c r="J22" s="37" t="s">
        <v>79</v>
      </c>
    </row>
    <row r="23" spans="1:18" x14ac:dyDescent="0.35">
      <c r="A23" s="17" t="s">
        <v>340</v>
      </c>
      <c r="B23" s="134">
        <v>64</v>
      </c>
      <c r="C23" s="134" t="s">
        <v>25</v>
      </c>
      <c r="D23" s="134" t="s">
        <v>25</v>
      </c>
      <c r="E23" s="134">
        <v>104</v>
      </c>
      <c r="F23" s="134">
        <v>1344</v>
      </c>
      <c r="G23" s="134" t="s">
        <v>25</v>
      </c>
      <c r="H23" s="134">
        <v>150</v>
      </c>
      <c r="I23" s="134">
        <v>124</v>
      </c>
      <c r="J23" s="134">
        <v>13</v>
      </c>
    </row>
    <row r="24" spans="1:18" x14ac:dyDescent="0.35">
      <c r="A24" s="17" t="s">
        <v>41</v>
      </c>
      <c r="B24" s="130" t="s">
        <v>25</v>
      </c>
      <c r="C24" s="130" t="s">
        <v>25</v>
      </c>
      <c r="D24" s="130" t="s">
        <v>25</v>
      </c>
      <c r="E24" s="130" t="s">
        <v>25</v>
      </c>
      <c r="F24" s="130" t="s">
        <v>25</v>
      </c>
      <c r="G24" s="130" t="s">
        <v>25</v>
      </c>
      <c r="H24" s="130" t="s">
        <v>25</v>
      </c>
      <c r="I24" s="130" t="s">
        <v>25</v>
      </c>
      <c r="J24" s="130" t="s">
        <v>25</v>
      </c>
    </row>
    <row r="25" spans="1:18" x14ac:dyDescent="0.35">
      <c r="B25" s="4"/>
      <c r="C25" s="4"/>
      <c r="D25" s="4"/>
      <c r="E25" s="4"/>
      <c r="F25" s="4"/>
      <c r="G25" s="4"/>
      <c r="H25" s="4"/>
      <c r="I25" s="4"/>
      <c r="J25" s="4"/>
      <c r="K25" s="4"/>
      <c r="L25" s="4"/>
      <c r="M25" s="4"/>
      <c r="N25" s="4"/>
      <c r="O25" s="4"/>
      <c r="P25" s="4"/>
      <c r="Q25" s="4"/>
    </row>
    <row r="26" spans="1:18" x14ac:dyDescent="0.35">
      <c r="A26" t="s">
        <v>341</v>
      </c>
      <c r="B26" s="23"/>
    </row>
    <row r="27" spans="1:18" x14ac:dyDescent="0.35">
      <c r="A27" t="s">
        <v>342</v>
      </c>
      <c r="B27" s="23"/>
      <c r="D27" s="349" t="s">
        <v>343</v>
      </c>
      <c r="E27" s="349"/>
      <c r="F27" s="349"/>
      <c r="G27" s="349"/>
      <c r="H27" s="349"/>
      <c r="I27" s="349"/>
      <c r="J27" s="349"/>
      <c r="K27" s="349"/>
      <c r="L27" s="349"/>
      <c r="M27" s="349"/>
      <c r="N27" s="349"/>
      <c r="O27" s="349"/>
      <c r="P27" s="349"/>
      <c r="Q27" s="349"/>
      <c r="R27" s="349"/>
    </row>
    <row r="28" spans="1:18" x14ac:dyDescent="0.35">
      <c r="B28" s="23"/>
      <c r="D28" s="349"/>
      <c r="E28" s="349"/>
      <c r="F28" s="349"/>
      <c r="G28" s="349"/>
      <c r="H28" s="349"/>
      <c r="I28" s="349"/>
      <c r="J28" s="349"/>
      <c r="K28" s="349"/>
      <c r="L28" s="349"/>
      <c r="M28" s="349"/>
      <c r="N28" s="349"/>
      <c r="O28" s="349"/>
      <c r="P28" s="349"/>
      <c r="Q28" s="349"/>
      <c r="R28" s="349"/>
    </row>
    <row r="29" spans="1:18" x14ac:dyDescent="0.35">
      <c r="B29" s="23"/>
      <c r="D29" s="349"/>
      <c r="E29" s="349"/>
      <c r="F29" s="349"/>
      <c r="G29" s="349"/>
      <c r="H29" s="349"/>
      <c r="I29" s="349"/>
      <c r="J29" s="349"/>
      <c r="K29" s="349"/>
      <c r="L29" s="349"/>
      <c r="M29" s="349"/>
      <c r="N29" s="349"/>
      <c r="O29" s="349"/>
      <c r="P29" s="349"/>
      <c r="Q29" s="349"/>
      <c r="R29" s="349"/>
    </row>
    <row r="30" spans="1:18" x14ac:dyDescent="0.35">
      <c r="B30" s="23"/>
      <c r="D30" s="349"/>
      <c r="E30" s="349"/>
      <c r="F30" s="349"/>
      <c r="G30" s="349"/>
      <c r="H30" s="349"/>
      <c r="I30" s="349"/>
      <c r="J30" s="349"/>
      <c r="K30" s="349"/>
      <c r="L30" s="349"/>
      <c r="M30" s="349"/>
      <c r="N30" s="349"/>
      <c r="O30" s="349"/>
      <c r="P30" s="349"/>
      <c r="Q30" s="349"/>
      <c r="R30" s="349"/>
    </row>
    <row r="33" spans="1:14" x14ac:dyDescent="0.35">
      <c r="A33" t="s">
        <v>344</v>
      </c>
    </row>
    <row r="34" spans="1:14" x14ac:dyDescent="0.35">
      <c r="A34" t="s">
        <v>345</v>
      </c>
      <c r="B34" s="23"/>
      <c r="D34" s="349"/>
      <c r="E34" s="349"/>
      <c r="F34" s="349"/>
      <c r="G34" s="349"/>
      <c r="H34" s="349"/>
      <c r="I34" s="349"/>
      <c r="J34" s="349"/>
      <c r="K34" s="349"/>
      <c r="L34" s="349"/>
      <c r="M34" s="349"/>
      <c r="N34" s="349"/>
    </row>
    <row r="35" spans="1:14" x14ac:dyDescent="0.35">
      <c r="B35" s="23"/>
      <c r="D35" s="349"/>
      <c r="E35" s="349"/>
      <c r="F35" s="349"/>
      <c r="G35" s="349"/>
      <c r="H35" s="349"/>
      <c r="I35" s="349"/>
      <c r="J35" s="349"/>
      <c r="K35" s="349"/>
      <c r="L35" s="349"/>
      <c r="M35" s="349"/>
      <c r="N35" s="349"/>
    </row>
    <row r="36" spans="1:14" x14ac:dyDescent="0.35">
      <c r="A36" t="s">
        <v>346</v>
      </c>
      <c r="B36" s="23"/>
      <c r="D36" s="349" t="s">
        <v>347</v>
      </c>
      <c r="E36" s="349"/>
      <c r="F36" s="349"/>
      <c r="G36" s="349"/>
      <c r="H36" s="349"/>
      <c r="I36" s="349"/>
      <c r="J36" s="349"/>
      <c r="K36" s="349"/>
      <c r="L36" s="349"/>
      <c r="M36" s="349"/>
      <c r="N36" s="349"/>
    </row>
    <row r="37" spans="1:14" x14ac:dyDescent="0.35">
      <c r="B37" s="23"/>
      <c r="D37" s="349"/>
      <c r="E37" s="349"/>
      <c r="F37" s="349"/>
      <c r="G37" s="349"/>
      <c r="H37" s="349"/>
      <c r="I37" s="349"/>
      <c r="J37" s="349"/>
      <c r="K37" s="349"/>
      <c r="L37" s="349"/>
      <c r="M37" s="349"/>
      <c r="N37" s="349"/>
    </row>
    <row r="38" spans="1:14" x14ac:dyDescent="0.35">
      <c r="B38" s="23"/>
    </row>
    <row r="39" spans="1:14" x14ac:dyDescent="0.35">
      <c r="B39" s="23"/>
    </row>
    <row r="40" spans="1:14" x14ac:dyDescent="0.35">
      <c r="B40" s="23"/>
    </row>
    <row r="41" spans="1:14" x14ac:dyDescent="0.35">
      <c r="B41" s="23"/>
    </row>
    <row r="42" spans="1:14" x14ac:dyDescent="0.35">
      <c r="B42" s="23"/>
    </row>
  </sheetData>
  <mergeCells count="28">
    <mergeCell ref="C1:H1"/>
    <mergeCell ref="B3:Q3"/>
    <mergeCell ref="A9:D9"/>
    <mergeCell ref="G9:L9"/>
    <mergeCell ref="A10:A12"/>
    <mergeCell ref="B10:B11"/>
    <mergeCell ref="C10:C11"/>
    <mergeCell ref="D10:D11"/>
    <mergeCell ref="G10:G12"/>
    <mergeCell ref="H10:H11"/>
    <mergeCell ref="I10:I11"/>
    <mergeCell ref="J10:J11"/>
    <mergeCell ref="K10:N11"/>
    <mergeCell ref="O10:Q11"/>
    <mergeCell ref="C5:Q5"/>
    <mergeCell ref="A5:A7"/>
    <mergeCell ref="C6:Q6"/>
    <mergeCell ref="C7:Q7"/>
    <mergeCell ref="C8:Q8"/>
    <mergeCell ref="D36:N37"/>
    <mergeCell ref="E15:F15"/>
    <mergeCell ref="C17:D17"/>
    <mergeCell ref="E17:F17"/>
    <mergeCell ref="E18:F18"/>
    <mergeCell ref="D27:R30"/>
    <mergeCell ref="D34:N35"/>
    <mergeCell ref="E14:F14"/>
    <mergeCell ref="E13:F1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A64"/>
  <sheetViews>
    <sheetView workbookViewId="0">
      <selection activeCell="B1" sqref="B1"/>
    </sheetView>
  </sheetViews>
  <sheetFormatPr defaultColWidth="8.7265625" defaultRowHeight="14.5" x14ac:dyDescent="0.35"/>
  <cols>
    <col min="1" max="1" width="13.453125" customWidth="1"/>
    <col min="2" max="10" width="7.54296875" customWidth="1"/>
    <col min="11" max="11" width="5" customWidth="1"/>
    <col min="12" max="12" width="19.26953125" customWidth="1"/>
    <col min="13" max="22" width="8.54296875" customWidth="1"/>
    <col min="24" max="24" width="15.1796875" customWidth="1"/>
  </cols>
  <sheetData>
    <row r="1" spans="1:27" x14ac:dyDescent="0.35">
      <c r="B1" s="91" t="s">
        <v>348</v>
      </c>
      <c r="C1" s="23"/>
      <c r="D1" s="23"/>
      <c r="E1" s="23"/>
      <c r="F1" s="23"/>
    </row>
    <row r="2" spans="1:27" x14ac:dyDescent="0.35">
      <c r="B2" s="91"/>
      <c r="C2" s="23"/>
      <c r="D2" s="23"/>
      <c r="E2" s="23"/>
      <c r="F2" s="23"/>
      <c r="L2" s="52" t="s">
        <v>349</v>
      </c>
      <c r="X2" s="409" t="s">
        <v>350</v>
      </c>
      <c r="Y2" s="409"/>
      <c r="Z2" s="409"/>
      <c r="AA2" s="409"/>
    </row>
    <row r="3" spans="1:27" ht="15" customHeight="1" x14ac:dyDescent="0.35">
      <c r="B3" s="91"/>
      <c r="C3" s="23"/>
      <c r="D3" s="23"/>
      <c r="E3" s="23"/>
      <c r="F3" s="23"/>
      <c r="L3" s="382" t="s">
        <v>7</v>
      </c>
      <c r="M3" s="411"/>
      <c r="N3" s="411" t="s">
        <v>351</v>
      </c>
      <c r="O3" s="427" t="s">
        <v>352</v>
      </c>
      <c r="P3" s="428"/>
      <c r="Q3" s="428"/>
      <c r="R3" s="427" t="s">
        <v>233</v>
      </c>
      <c r="S3" s="428"/>
      <c r="T3" s="431"/>
      <c r="X3" s="420" t="s">
        <v>7</v>
      </c>
      <c r="Y3" s="423"/>
      <c r="Z3" s="424" t="s">
        <v>43</v>
      </c>
      <c r="AA3" s="424" t="s">
        <v>233</v>
      </c>
    </row>
    <row r="4" spans="1:27" x14ac:dyDescent="0.35">
      <c r="B4" s="23"/>
      <c r="L4" s="383"/>
      <c r="M4" s="412"/>
      <c r="N4" s="412"/>
      <c r="O4" s="429"/>
      <c r="P4" s="430"/>
      <c r="Q4" s="430"/>
      <c r="R4" s="429"/>
      <c r="S4" s="430"/>
      <c r="T4" s="432"/>
      <c r="X4" s="421"/>
      <c r="Y4" s="423"/>
      <c r="Z4" s="425"/>
      <c r="AA4" s="425"/>
    </row>
    <row r="5" spans="1:27" ht="28.5" customHeight="1" x14ac:dyDescent="0.35">
      <c r="A5" s="419" t="s">
        <v>218</v>
      </c>
      <c r="B5" s="349" t="s">
        <v>353</v>
      </c>
      <c r="C5" s="349"/>
      <c r="D5" s="349"/>
      <c r="E5" s="349"/>
      <c r="F5" s="349"/>
      <c r="G5" s="349"/>
      <c r="H5" s="349"/>
      <c r="I5" s="349"/>
      <c r="J5" s="349"/>
      <c r="K5" s="1"/>
      <c r="L5" s="384"/>
      <c r="M5" s="6" t="s">
        <v>240</v>
      </c>
      <c r="N5" s="26" t="s">
        <v>25</v>
      </c>
      <c r="O5" s="26" t="s">
        <v>354</v>
      </c>
      <c r="P5" s="26" t="s">
        <v>355</v>
      </c>
      <c r="Q5" s="26" t="s">
        <v>356</v>
      </c>
      <c r="R5" s="26" t="s">
        <v>354</v>
      </c>
      <c r="S5" s="26" t="s">
        <v>357</v>
      </c>
      <c r="T5" s="8" t="s">
        <v>358</v>
      </c>
      <c r="X5" s="422"/>
      <c r="Y5" s="53" t="s">
        <v>240</v>
      </c>
      <c r="Z5" s="54" t="s">
        <v>25</v>
      </c>
      <c r="AA5" s="55" t="s">
        <v>25</v>
      </c>
    </row>
    <row r="6" spans="1:27" ht="28.5" customHeight="1" x14ac:dyDescent="0.35">
      <c r="A6" s="419"/>
      <c r="B6" s="349"/>
      <c r="C6" s="349"/>
      <c r="D6" s="349"/>
      <c r="E6" s="349"/>
      <c r="F6" s="349"/>
      <c r="G6" s="349"/>
      <c r="H6" s="349"/>
      <c r="I6" s="349"/>
      <c r="J6" s="349"/>
      <c r="K6" s="1"/>
      <c r="L6" s="120" t="s">
        <v>243</v>
      </c>
      <c r="M6" s="51" t="s">
        <v>244</v>
      </c>
      <c r="N6" s="31">
        <v>0.06</v>
      </c>
      <c r="O6" s="31">
        <v>0.06</v>
      </c>
      <c r="P6" s="31">
        <v>0.06</v>
      </c>
      <c r="Q6" s="31">
        <v>0.06</v>
      </c>
      <c r="R6" s="179">
        <v>0.5</v>
      </c>
      <c r="S6" s="179">
        <v>0.3</v>
      </c>
      <c r="T6" s="121">
        <v>0.3</v>
      </c>
      <c r="X6" s="51" t="s">
        <v>243</v>
      </c>
      <c r="Y6" s="51" t="s">
        <v>244</v>
      </c>
      <c r="Z6" s="31" t="s">
        <v>359</v>
      </c>
      <c r="AA6" s="31" t="s">
        <v>360</v>
      </c>
    </row>
    <row r="7" spans="1:27" ht="21.75" customHeight="1" x14ac:dyDescent="0.35">
      <c r="A7" s="419"/>
      <c r="B7" s="349"/>
      <c r="C7" s="349"/>
      <c r="D7" s="349"/>
      <c r="E7" s="349"/>
      <c r="F7" s="349"/>
      <c r="G7" s="349"/>
      <c r="H7" s="349"/>
      <c r="I7" s="349"/>
      <c r="J7" s="349"/>
      <c r="K7" s="1"/>
      <c r="L7" s="120" t="s">
        <v>252</v>
      </c>
      <c r="M7" s="51" t="s">
        <v>253</v>
      </c>
      <c r="N7" s="31">
        <v>0.2</v>
      </c>
      <c r="O7" s="31">
        <v>0.5</v>
      </c>
      <c r="P7" s="31">
        <v>0.5</v>
      </c>
      <c r="Q7" s="31">
        <v>0.5</v>
      </c>
      <c r="R7" s="178">
        <v>3</v>
      </c>
      <c r="S7" s="178">
        <v>3</v>
      </c>
      <c r="T7" s="122">
        <v>3</v>
      </c>
      <c r="X7" s="51" t="s">
        <v>252</v>
      </c>
      <c r="Y7" s="51" t="s">
        <v>253</v>
      </c>
      <c r="Z7" s="31" t="s">
        <v>361</v>
      </c>
      <c r="AA7" s="56" t="s">
        <v>25</v>
      </c>
    </row>
    <row r="8" spans="1:27" ht="28.5" customHeight="1" x14ac:dyDescent="0.35">
      <c r="A8" s="419"/>
      <c r="B8" s="349" t="s">
        <v>362</v>
      </c>
      <c r="C8" s="349"/>
      <c r="D8" s="349"/>
      <c r="E8" s="349"/>
      <c r="F8" s="349"/>
      <c r="G8" s="349"/>
      <c r="H8" s="349"/>
      <c r="I8" s="349"/>
      <c r="J8" s="349"/>
      <c r="K8" s="1"/>
      <c r="L8" s="120" t="s">
        <v>363</v>
      </c>
      <c r="M8" s="51" t="s">
        <v>253</v>
      </c>
      <c r="N8" s="31">
        <v>0.4</v>
      </c>
      <c r="O8" s="56" t="s">
        <v>25</v>
      </c>
      <c r="P8" s="56" t="s">
        <v>25</v>
      </c>
      <c r="Q8" s="56" t="s">
        <v>25</v>
      </c>
      <c r="R8" s="179" t="s">
        <v>25</v>
      </c>
      <c r="S8" s="179" t="s">
        <v>25</v>
      </c>
      <c r="T8" s="121" t="s">
        <v>25</v>
      </c>
      <c r="X8" s="51" t="s">
        <v>363</v>
      </c>
      <c r="Y8" s="51" t="s">
        <v>253</v>
      </c>
      <c r="Z8" s="31" t="s">
        <v>364</v>
      </c>
      <c r="AA8" s="56" t="s">
        <v>25</v>
      </c>
    </row>
    <row r="9" spans="1:27" ht="28.5" customHeight="1" x14ac:dyDescent="0.35">
      <c r="A9" s="419"/>
      <c r="B9" s="349"/>
      <c r="C9" s="349"/>
      <c r="D9" s="349"/>
      <c r="E9" s="349"/>
      <c r="F9" s="349"/>
      <c r="G9" s="349"/>
      <c r="H9" s="349"/>
      <c r="I9" s="349"/>
      <c r="J9" s="349"/>
      <c r="K9" s="1"/>
      <c r="L9" s="120" t="s">
        <v>256</v>
      </c>
      <c r="M9" s="51" t="s">
        <v>365</v>
      </c>
      <c r="N9" s="31">
        <v>35</v>
      </c>
      <c r="O9" s="31">
        <v>45</v>
      </c>
      <c r="P9" s="31">
        <v>55</v>
      </c>
      <c r="Q9" s="31">
        <v>60</v>
      </c>
      <c r="R9" s="179">
        <v>40</v>
      </c>
      <c r="S9" s="179">
        <v>47</v>
      </c>
      <c r="T9" s="121">
        <v>50</v>
      </c>
      <c r="X9" s="51" t="s">
        <v>256</v>
      </c>
      <c r="Y9" s="51" t="s">
        <v>365</v>
      </c>
      <c r="Z9" s="57" t="s">
        <v>366</v>
      </c>
      <c r="AA9" s="31" t="s">
        <v>367</v>
      </c>
    </row>
    <row r="10" spans="1:27" ht="28.5" customHeight="1" x14ac:dyDescent="0.35">
      <c r="A10" s="419"/>
      <c r="B10" s="349"/>
      <c r="C10" s="349"/>
      <c r="D10" s="349"/>
      <c r="E10" s="349"/>
      <c r="F10" s="349"/>
      <c r="G10" s="349"/>
      <c r="H10" s="349"/>
      <c r="I10" s="349"/>
      <c r="J10" s="349"/>
      <c r="K10" s="1"/>
      <c r="L10" s="120" t="s">
        <v>368</v>
      </c>
      <c r="M10" s="51" t="s">
        <v>369</v>
      </c>
      <c r="N10" s="31" t="s">
        <v>25</v>
      </c>
      <c r="O10" s="31" t="s">
        <v>25</v>
      </c>
      <c r="P10" s="31" t="s">
        <v>25</v>
      </c>
      <c r="Q10" s="31" t="s">
        <v>25</v>
      </c>
      <c r="R10" s="179">
        <v>10</v>
      </c>
      <c r="S10" s="179">
        <v>12</v>
      </c>
      <c r="T10" s="121">
        <v>14</v>
      </c>
      <c r="X10" s="51"/>
      <c r="Y10" s="51"/>
      <c r="Z10" s="57"/>
      <c r="AA10" s="31"/>
    </row>
    <row r="11" spans="1:27" ht="22.5" customHeight="1" x14ac:dyDescent="0.35">
      <c r="A11" s="419"/>
      <c r="B11" s="349"/>
      <c r="C11" s="349"/>
      <c r="D11" s="349"/>
      <c r="E11" s="349"/>
      <c r="F11" s="349"/>
      <c r="G11" s="349"/>
      <c r="H11" s="349"/>
      <c r="I11" s="349"/>
      <c r="J11" s="349"/>
      <c r="K11" s="1"/>
      <c r="L11" s="120" t="s">
        <v>265</v>
      </c>
      <c r="M11" s="51" t="s">
        <v>266</v>
      </c>
      <c r="N11" s="31">
        <v>200</v>
      </c>
      <c r="O11" s="57">
        <v>300</v>
      </c>
      <c r="P11" s="31">
        <v>150</v>
      </c>
      <c r="Q11" s="31">
        <v>100</v>
      </c>
      <c r="R11" s="179">
        <v>450</v>
      </c>
      <c r="S11" s="179">
        <v>350</v>
      </c>
      <c r="T11" s="121">
        <v>200</v>
      </c>
      <c r="X11" s="51" t="s">
        <v>265</v>
      </c>
      <c r="Y11" s="51" t="s">
        <v>266</v>
      </c>
      <c r="Z11" s="31" t="s">
        <v>370</v>
      </c>
      <c r="AA11" s="31" t="s">
        <v>371</v>
      </c>
    </row>
    <row r="12" spans="1:27" ht="28.5" customHeight="1" x14ac:dyDescent="0.35">
      <c r="A12" s="419"/>
      <c r="B12" s="349"/>
      <c r="C12" s="349"/>
      <c r="D12" s="349"/>
      <c r="E12" s="349"/>
      <c r="F12" s="349"/>
      <c r="G12" s="349"/>
      <c r="H12" s="349"/>
      <c r="I12" s="349"/>
      <c r="J12" s="349"/>
      <c r="K12" s="1"/>
      <c r="L12" s="120" t="s">
        <v>274</v>
      </c>
      <c r="M12" s="51" t="s">
        <v>372</v>
      </c>
      <c r="N12" s="31" t="s">
        <v>373</v>
      </c>
      <c r="O12" s="31" t="s">
        <v>373</v>
      </c>
      <c r="P12" s="31" t="s">
        <v>373</v>
      </c>
      <c r="Q12" s="31" t="s">
        <v>373</v>
      </c>
      <c r="R12" s="179">
        <v>1.5</v>
      </c>
      <c r="S12" s="179">
        <v>1.5</v>
      </c>
      <c r="T12" s="121">
        <v>1.5</v>
      </c>
      <c r="X12" s="51" t="s">
        <v>274</v>
      </c>
      <c r="Y12" s="51" t="s">
        <v>372</v>
      </c>
      <c r="Z12" s="49" t="s">
        <v>25</v>
      </c>
      <c r="AA12" s="56" t="s">
        <v>25</v>
      </c>
    </row>
    <row r="13" spans="1:27" ht="28.5" customHeight="1" x14ac:dyDescent="0.35">
      <c r="A13" s="419"/>
      <c r="B13" s="349" t="s">
        <v>374</v>
      </c>
      <c r="C13" s="349"/>
      <c r="D13" s="349"/>
      <c r="E13" s="349"/>
      <c r="F13" s="349"/>
      <c r="G13" s="349"/>
      <c r="H13" s="349"/>
      <c r="I13" s="349"/>
      <c r="J13" s="349"/>
      <c r="K13" s="1"/>
      <c r="L13" s="120" t="s">
        <v>33</v>
      </c>
      <c r="M13" s="51" t="s">
        <v>337</v>
      </c>
      <c r="N13" s="56" t="s">
        <v>25</v>
      </c>
      <c r="O13" s="58" t="s">
        <v>34</v>
      </c>
      <c r="P13" s="58" t="s">
        <v>34</v>
      </c>
      <c r="Q13" s="58" t="s">
        <v>34</v>
      </c>
      <c r="R13" s="179" t="s">
        <v>25</v>
      </c>
      <c r="S13" s="179" t="s">
        <v>25</v>
      </c>
      <c r="T13" s="179" t="s">
        <v>25</v>
      </c>
      <c r="X13" s="51" t="s">
        <v>33</v>
      </c>
      <c r="Y13" s="51" t="s">
        <v>337</v>
      </c>
      <c r="Z13" s="58" t="s">
        <v>25</v>
      </c>
      <c r="AA13" s="56" t="s">
        <v>25</v>
      </c>
    </row>
    <row r="14" spans="1:27" ht="28.5" customHeight="1" x14ac:dyDescent="0.35">
      <c r="A14" s="419"/>
      <c r="B14" s="349"/>
      <c r="C14" s="349"/>
      <c r="D14" s="349"/>
      <c r="E14" s="349"/>
      <c r="F14" s="349"/>
      <c r="G14" s="349"/>
      <c r="H14" s="349"/>
      <c r="I14" s="349"/>
      <c r="J14" s="349"/>
      <c r="K14" s="1"/>
      <c r="L14" s="120" t="s">
        <v>39</v>
      </c>
      <c r="M14" s="51" t="s">
        <v>290</v>
      </c>
      <c r="N14" s="31">
        <v>0.96</v>
      </c>
      <c r="O14" s="56" t="s">
        <v>25</v>
      </c>
      <c r="P14" s="56" t="s">
        <v>25</v>
      </c>
      <c r="Q14" s="56" t="s">
        <v>25</v>
      </c>
      <c r="R14" s="179" t="s">
        <v>25</v>
      </c>
      <c r="S14" s="123" t="s">
        <v>25</v>
      </c>
      <c r="T14" s="124" t="s">
        <v>25</v>
      </c>
      <c r="X14" s="51" t="s">
        <v>39</v>
      </c>
      <c r="Y14" s="51"/>
      <c r="Z14" s="58" t="s">
        <v>25</v>
      </c>
      <c r="AA14" s="56" t="s">
        <v>25</v>
      </c>
    </row>
    <row r="15" spans="1:27" ht="28.5" customHeight="1" x14ac:dyDescent="0.35">
      <c r="A15" s="419"/>
      <c r="B15" s="349"/>
      <c r="C15" s="349"/>
      <c r="D15" s="349"/>
      <c r="E15" s="349"/>
      <c r="F15" s="349"/>
      <c r="G15" s="349"/>
      <c r="H15" s="349"/>
      <c r="I15" s="349"/>
      <c r="J15" s="349"/>
      <c r="K15" s="1"/>
      <c r="L15" s="120" t="s">
        <v>375</v>
      </c>
      <c r="M15" s="51" t="s">
        <v>376</v>
      </c>
      <c r="N15" s="31">
        <v>50</v>
      </c>
      <c r="O15" s="31">
        <v>50</v>
      </c>
      <c r="P15" s="31">
        <v>50</v>
      </c>
      <c r="Q15" s="31">
        <v>50</v>
      </c>
      <c r="R15" s="416" t="s">
        <v>377</v>
      </c>
      <c r="S15" s="417"/>
      <c r="T15" s="418"/>
      <c r="X15" s="51" t="s">
        <v>378</v>
      </c>
      <c r="Y15" s="51" t="s">
        <v>376</v>
      </c>
      <c r="Z15" s="31" t="s">
        <v>379</v>
      </c>
      <c r="AA15" s="56" t="s">
        <v>25</v>
      </c>
    </row>
    <row r="16" spans="1:27" ht="28.5" customHeight="1" x14ac:dyDescent="0.35">
      <c r="A16" s="419"/>
      <c r="B16" s="349"/>
      <c r="C16" s="349"/>
      <c r="D16" s="349"/>
      <c r="E16" s="349"/>
      <c r="F16" s="349"/>
      <c r="G16" s="349"/>
      <c r="H16" s="349"/>
      <c r="I16" s="349"/>
      <c r="J16" s="349"/>
      <c r="K16" s="1"/>
      <c r="L16" s="120" t="s">
        <v>35</v>
      </c>
      <c r="M16" s="51" t="s">
        <v>380</v>
      </c>
      <c r="N16" s="31" t="s">
        <v>381</v>
      </c>
      <c r="O16" s="31" t="s">
        <v>381</v>
      </c>
      <c r="P16" s="31" t="s">
        <v>381</v>
      </c>
      <c r="Q16" s="31" t="s">
        <v>381</v>
      </c>
      <c r="R16" s="31" t="s">
        <v>381</v>
      </c>
      <c r="S16" s="31" t="s">
        <v>381</v>
      </c>
      <c r="T16" s="31" t="s">
        <v>381</v>
      </c>
      <c r="X16" s="51"/>
      <c r="Y16" s="51"/>
      <c r="Z16" s="31"/>
      <c r="AA16" s="56"/>
    </row>
    <row r="17" spans="1:27" ht="21.75" customHeight="1" x14ac:dyDescent="0.35">
      <c r="A17" s="419"/>
      <c r="B17" s="349"/>
      <c r="C17" s="349"/>
      <c r="D17" s="349"/>
      <c r="E17" s="349"/>
      <c r="F17" s="349"/>
      <c r="G17" s="349"/>
      <c r="H17" s="349"/>
      <c r="I17" s="349"/>
      <c r="J17" s="349"/>
      <c r="L17" s="120" t="s">
        <v>227</v>
      </c>
      <c r="M17" s="51" t="s">
        <v>382</v>
      </c>
      <c r="N17" s="51" t="s">
        <v>25</v>
      </c>
      <c r="O17" s="59" t="s">
        <v>383</v>
      </c>
      <c r="P17" s="51"/>
      <c r="Q17" s="51"/>
      <c r="R17" s="51"/>
      <c r="S17" s="51"/>
      <c r="T17" s="51"/>
      <c r="X17" s="51" t="s">
        <v>384</v>
      </c>
      <c r="Y17" s="51" t="s">
        <v>376</v>
      </c>
      <c r="Z17" s="31" t="s">
        <v>385</v>
      </c>
      <c r="AA17" s="56" t="s">
        <v>25</v>
      </c>
    </row>
    <row r="18" spans="1:27" ht="28.5" customHeight="1" x14ac:dyDescent="0.35">
      <c r="A18" s="3"/>
      <c r="B18" s="23"/>
      <c r="L18" s="3"/>
      <c r="M18" s="75"/>
      <c r="N18" s="34"/>
      <c r="O18" s="75"/>
      <c r="P18" s="75"/>
      <c r="Q18" s="75"/>
      <c r="R18" s="75"/>
      <c r="S18" s="75"/>
      <c r="T18" s="75"/>
      <c r="U18" s="75"/>
      <c r="V18" s="75"/>
      <c r="X18" s="75"/>
      <c r="Y18" s="75"/>
      <c r="Z18" s="126"/>
      <c r="AA18" s="75"/>
    </row>
    <row r="19" spans="1:27" x14ac:dyDescent="0.35">
      <c r="A19" s="415" t="s">
        <v>224</v>
      </c>
      <c r="B19" s="349" t="s">
        <v>326</v>
      </c>
      <c r="C19" s="349"/>
      <c r="D19" s="349"/>
      <c r="E19" s="349"/>
      <c r="F19" s="349"/>
      <c r="G19" s="349"/>
      <c r="H19" s="349"/>
      <c r="I19" s="349"/>
      <c r="J19" s="349"/>
      <c r="K19" s="1"/>
      <c r="L19" s="1"/>
      <c r="M19" s="1"/>
      <c r="N19" s="1"/>
      <c r="O19" s="1"/>
      <c r="P19" s="1"/>
    </row>
    <row r="20" spans="1:27" x14ac:dyDescent="0.35">
      <c r="A20" s="415"/>
      <c r="B20" s="349"/>
      <c r="C20" s="349"/>
      <c r="D20" s="349"/>
      <c r="E20" s="349"/>
      <c r="F20" s="349"/>
      <c r="G20" s="349"/>
      <c r="H20" s="349"/>
      <c r="I20" s="349"/>
      <c r="J20" s="349"/>
      <c r="K20" s="1"/>
      <c r="L20" t="s">
        <v>339</v>
      </c>
      <c r="M20" s="23"/>
    </row>
    <row r="21" spans="1:27" x14ac:dyDescent="0.35">
      <c r="A21" s="415"/>
      <c r="B21" s="349"/>
      <c r="C21" s="349"/>
      <c r="D21" s="349"/>
      <c r="E21" s="349"/>
      <c r="F21" s="349"/>
      <c r="G21" s="349"/>
      <c r="H21" s="349"/>
      <c r="I21" s="349"/>
      <c r="J21" s="349"/>
      <c r="K21" s="1"/>
      <c r="M21" s="23"/>
    </row>
    <row r="22" spans="1:27" x14ac:dyDescent="0.35">
      <c r="A22" s="415"/>
      <c r="B22" s="349" t="s">
        <v>327</v>
      </c>
      <c r="C22" s="349"/>
      <c r="D22" s="349"/>
      <c r="E22" s="349"/>
      <c r="F22" s="349"/>
      <c r="G22" s="349"/>
      <c r="H22" s="349"/>
      <c r="I22" s="349"/>
      <c r="J22" s="349"/>
      <c r="K22" s="1"/>
      <c r="L22" s="14"/>
      <c r="M22" s="37" t="s">
        <v>314</v>
      </c>
      <c r="N22" s="37" t="s">
        <v>315</v>
      </c>
      <c r="O22" s="37" t="s">
        <v>316</v>
      </c>
      <c r="P22" s="37" t="s">
        <v>74</v>
      </c>
      <c r="Q22" s="37" t="s">
        <v>75</v>
      </c>
      <c r="R22" s="37" t="s">
        <v>76</v>
      </c>
      <c r="S22" s="37" t="s">
        <v>77</v>
      </c>
      <c r="T22" s="37" t="s">
        <v>78</v>
      </c>
      <c r="U22" s="37" t="s">
        <v>79</v>
      </c>
    </row>
    <row r="23" spans="1:27" ht="30.75" customHeight="1" x14ac:dyDescent="0.35">
      <c r="A23" s="415"/>
      <c r="B23" s="349"/>
      <c r="C23" s="349"/>
      <c r="D23" s="349"/>
      <c r="E23" s="349"/>
      <c r="F23" s="349"/>
      <c r="G23" s="349"/>
      <c r="H23" s="349"/>
      <c r="I23" s="349"/>
      <c r="J23" s="349"/>
      <c r="K23" s="1"/>
      <c r="L23" s="17" t="s">
        <v>386</v>
      </c>
      <c r="M23" s="134">
        <v>112</v>
      </c>
      <c r="N23" s="134" t="s">
        <v>25</v>
      </c>
      <c r="O23" s="134" t="s">
        <v>25</v>
      </c>
      <c r="P23" s="134">
        <v>20</v>
      </c>
      <c r="Q23" s="134">
        <v>161</v>
      </c>
      <c r="R23" s="134" t="s">
        <v>25</v>
      </c>
      <c r="S23" s="134">
        <v>18</v>
      </c>
      <c r="T23" s="134">
        <v>232</v>
      </c>
      <c r="U23" s="134">
        <v>1</v>
      </c>
    </row>
    <row r="24" spans="1:27" x14ac:dyDescent="0.35">
      <c r="A24" s="415"/>
      <c r="B24" s="349"/>
      <c r="C24" s="349"/>
      <c r="D24" s="349"/>
      <c r="E24" s="349"/>
      <c r="F24" s="349"/>
      <c r="G24" s="349"/>
      <c r="H24" s="349"/>
      <c r="I24" s="349"/>
      <c r="J24" s="349"/>
      <c r="K24" s="1"/>
      <c r="L24" s="17" t="s">
        <v>387</v>
      </c>
      <c r="M24" s="134">
        <v>35</v>
      </c>
      <c r="N24" s="134" t="s">
        <v>25</v>
      </c>
      <c r="O24" s="134" t="s">
        <v>25</v>
      </c>
      <c r="P24" s="134">
        <v>25</v>
      </c>
      <c r="Q24" s="134">
        <v>497</v>
      </c>
      <c r="R24" s="134" t="s">
        <v>25</v>
      </c>
      <c r="S24" s="134">
        <v>16</v>
      </c>
      <c r="T24" s="134">
        <v>58</v>
      </c>
      <c r="U24" s="134">
        <v>0</v>
      </c>
    </row>
    <row r="25" spans="1:27" ht="15.75" customHeight="1" x14ac:dyDescent="0.35">
      <c r="A25" s="415"/>
      <c r="B25" s="426" t="s">
        <v>328</v>
      </c>
      <c r="C25" s="426"/>
      <c r="D25" s="426"/>
      <c r="E25" s="426"/>
      <c r="F25" s="426"/>
      <c r="G25" s="426"/>
      <c r="H25" s="426"/>
      <c r="I25" s="426"/>
      <c r="J25" s="426"/>
      <c r="K25" s="119"/>
      <c r="L25" s="17" t="s">
        <v>41</v>
      </c>
      <c r="M25" s="130" t="s">
        <v>25</v>
      </c>
      <c r="N25" s="134" t="s">
        <v>25</v>
      </c>
      <c r="O25" s="130" t="s">
        <v>25</v>
      </c>
      <c r="P25" s="130" t="s">
        <v>25</v>
      </c>
      <c r="Q25" s="130" t="s">
        <v>25</v>
      </c>
      <c r="R25" s="130" t="s">
        <v>25</v>
      </c>
      <c r="S25" s="130" t="s">
        <v>25</v>
      </c>
      <c r="T25" s="130" t="s">
        <v>25</v>
      </c>
      <c r="U25" s="130" t="s">
        <v>25</v>
      </c>
    </row>
    <row r="26" spans="1:27" ht="15.5" x14ac:dyDescent="0.35">
      <c r="A26" s="415"/>
      <c r="B26" s="426"/>
      <c r="C26" s="426"/>
      <c r="D26" s="426"/>
      <c r="E26" s="426"/>
      <c r="F26" s="426"/>
      <c r="G26" s="426"/>
      <c r="H26" s="426"/>
      <c r="I26" s="426"/>
      <c r="J26" s="426"/>
      <c r="K26" s="119"/>
      <c r="L26" s="119"/>
      <c r="M26" s="119"/>
      <c r="N26" s="119"/>
      <c r="O26" s="119"/>
      <c r="P26" s="119"/>
    </row>
    <row r="27" spans="1:27" ht="15.5" x14ac:dyDescent="0.35">
      <c r="A27" s="415"/>
      <c r="B27" s="426"/>
      <c r="C27" s="426"/>
      <c r="D27" s="426"/>
      <c r="E27" s="426"/>
      <c r="F27" s="426"/>
      <c r="G27" s="426"/>
      <c r="H27" s="426"/>
      <c r="I27" s="426"/>
      <c r="J27" s="426"/>
      <c r="K27" s="119"/>
      <c r="L27" s="119"/>
      <c r="M27" s="119"/>
      <c r="N27" s="119"/>
      <c r="O27" s="119"/>
      <c r="P27" s="119"/>
    </row>
    <row r="28" spans="1:27" ht="15.5" x14ac:dyDescent="0.35">
      <c r="A28" s="415"/>
      <c r="B28" s="426"/>
      <c r="C28" s="426"/>
      <c r="D28" s="426"/>
      <c r="E28" s="426"/>
      <c r="F28" s="426"/>
      <c r="G28" s="426"/>
      <c r="H28" s="426"/>
      <c r="I28" s="426"/>
      <c r="J28" s="426"/>
      <c r="K28" s="119"/>
      <c r="L28" s="119"/>
      <c r="M28" s="119"/>
      <c r="N28" s="119"/>
      <c r="O28" s="119"/>
      <c r="P28" s="119"/>
    </row>
    <row r="29" spans="1:27" ht="15.5" x14ac:dyDescent="0.35">
      <c r="A29" s="415"/>
      <c r="B29" s="426"/>
      <c r="C29" s="426"/>
      <c r="D29" s="426"/>
      <c r="E29" s="426"/>
      <c r="F29" s="426"/>
      <c r="G29" s="426"/>
      <c r="H29" s="426"/>
      <c r="I29" s="426"/>
      <c r="J29" s="426"/>
      <c r="K29" s="119"/>
      <c r="L29" s="119"/>
      <c r="M29" s="119"/>
      <c r="N29" s="119"/>
      <c r="O29" s="119"/>
      <c r="P29" s="119"/>
    </row>
    <row r="30" spans="1:27" ht="15.5" x14ac:dyDescent="0.35">
      <c r="A30" s="125"/>
      <c r="B30" s="143"/>
      <c r="C30" s="143"/>
      <c r="D30" s="143"/>
      <c r="E30" s="143"/>
      <c r="F30" s="143"/>
      <c r="G30" s="143"/>
      <c r="H30" s="143"/>
      <c r="I30" s="143"/>
      <c r="J30" s="143"/>
      <c r="K30" s="119"/>
      <c r="L30" s="119"/>
      <c r="M30" s="119"/>
      <c r="N30" s="119"/>
      <c r="O30" s="119"/>
      <c r="P30" s="119"/>
    </row>
    <row r="31" spans="1:27" x14ac:dyDescent="0.35">
      <c r="A31" s="5" t="s">
        <v>229</v>
      </c>
      <c r="B31" s="91" t="s">
        <v>329</v>
      </c>
      <c r="C31" s="91"/>
      <c r="D31" s="91"/>
      <c r="E31" s="91"/>
      <c r="F31" s="91"/>
      <c r="G31" s="91"/>
      <c r="H31" s="91"/>
      <c r="I31" s="91"/>
      <c r="J31" s="91"/>
      <c r="K31" s="91"/>
      <c r="L31" s="91"/>
      <c r="M31" s="91"/>
      <c r="N31" s="91"/>
      <c r="O31" s="91"/>
    </row>
    <row r="32" spans="1:27" x14ac:dyDescent="0.35">
      <c r="B32" s="91" t="s">
        <v>388</v>
      </c>
      <c r="C32" s="91"/>
      <c r="D32" s="91"/>
      <c r="E32" s="91"/>
      <c r="F32" s="91"/>
      <c r="G32" s="91"/>
      <c r="H32" s="91"/>
      <c r="I32" s="91"/>
      <c r="J32" s="91"/>
      <c r="K32" s="91"/>
      <c r="L32" s="91"/>
      <c r="M32" s="91"/>
      <c r="N32" s="91"/>
      <c r="O32" s="91"/>
      <c r="P32" s="91"/>
      <c r="Q32" s="91"/>
      <c r="R32" s="91"/>
      <c r="S32" s="91"/>
    </row>
    <row r="33" spans="3:20" x14ac:dyDescent="0.35">
      <c r="C33" s="52"/>
      <c r="D33" s="52"/>
      <c r="E33" s="52"/>
      <c r="F33" s="52"/>
      <c r="G33" s="52"/>
      <c r="H33" s="23"/>
      <c r="I33" s="23"/>
      <c r="J33" s="23"/>
      <c r="K33" s="23"/>
      <c r="L33" s="23"/>
      <c r="Q33" s="23"/>
      <c r="R33" s="23"/>
    </row>
    <row r="34" spans="3:20" ht="15" customHeight="1" x14ac:dyDescent="0.35">
      <c r="Q34" s="413"/>
      <c r="R34" s="413"/>
    </row>
    <row r="35" spans="3:20" x14ac:dyDescent="0.35">
      <c r="Q35" s="413"/>
      <c r="R35" s="413"/>
    </row>
    <row r="36" spans="3:20" x14ac:dyDescent="0.35">
      <c r="Q36" s="413"/>
      <c r="R36" s="413"/>
    </row>
    <row r="37" spans="3:20" x14ac:dyDescent="0.35">
      <c r="Q37" s="75"/>
      <c r="R37" s="75"/>
    </row>
    <row r="38" spans="3:20" x14ac:dyDescent="0.35">
      <c r="Q38" s="35"/>
      <c r="R38" s="32"/>
    </row>
    <row r="39" spans="3:20" x14ac:dyDescent="0.35">
      <c r="Q39" s="35"/>
      <c r="R39" s="32"/>
    </row>
    <row r="40" spans="3:20" x14ac:dyDescent="0.35">
      <c r="Q40" s="29"/>
      <c r="R40" s="29"/>
    </row>
    <row r="41" spans="3:20" x14ac:dyDescent="0.35">
      <c r="Q41" s="29"/>
      <c r="R41" s="29"/>
    </row>
    <row r="42" spans="3:20" x14ac:dyDescent="0.35">
      <c r="Q42" s="29"/>
      <c r="R42" s="36"/>
    </row>
    <row r="43" spans="3:20" x14ac:dyDescent="0.35">
      <c r="Q43" s="29"/>
      <c r="R43" s="75"/>
    </row>
    <row r="44" spans="3:20" x14ac:dyDescent="0.35">
      <c r="Q44" s="75"/>
      <c r="R44" s="75"/>
    </row>
    <row r="45" spans="3:20" x14ac:dyDescent="0.35">
      <c r="Q45" s="75"/>
      <c r="R45" s="75"/>
    </row>
    <row r="46" spans="3:20" x14ac:dyDescent="0.35">
      <c r="Q46" s="75"/>
      <c r="R46" s="75"/>
    </row>
    <row r="47" spans="3:20" x14ac:dyDescent="0.35">
      <c r="T47" s="23"/>
    </row>
    <row r="54" spans="2:19" x14ac:dyDescent="0.35">
      <c r="B54" s="347"/>
      <c r="C54" s="347"/>
      <c r="D54" s="347"/>
      <c r="E54" s="347"/>
      <c r="F54" s="347"/>
      <c r="G54" s="347"/>
      <c r="H54" s="347"/>
      <c r="I54" s="347"/>
      <c r="J54" s="347"/>
      <c r="K54" s="347"/>
      <c r="L54" s="347"/>
      <c r="M54" s="347"/>
      <c r="N54" s="347"/>
      <c r="O54" s="347"/>
      <c r="P54" s="347"/>
    </row>
    <row r="55" spans="2:19" x14ac:dyDescent="0.35">
      <c r="B55" s="347"/>
      <c r="C55" s="347"/>
      <c r="D55" s="347"/>
      <c r="E55" s="347"/>
      <c r="F55" s="347"/>
      <c r="G55" s="347"/>
      <c r="H55" s="347"/>
      <c r="I55" s="347"/>
      <c r="J55" s="347"/>
      <c r="K55" s="347"/>
      <c r="L55" s="347"/>
      <c r="M55" s="347"/>
      <c r="N55" s="347"/>
      <c r="O55" s="347"/>
    </row>
    <row r="56" spans="2:19" x14ac:dyDescent="0.35">
      <c r="B56" s="348"/>
      <c r="C56" s="348"/>
      <c r="D56" s="348"/>
      <c r="E56" s="348"/>
      <c r="F56" s="348"/>
      <c r="G56" s="348"/>
      <c r="H56" s="348"/>
      <c r="I56" s="348"/>
      <c r="J56" s="348"/>
      <c r="K56" s="348"/>
      <c r="L56" s="348"/>
      <c r="M56" s="348"/>
      <c r="N56" s="348"/>
      <c r="O56" s="348"/>
      <c r="P56" s="348"/>
    </row>
    <row r="57" spans="2:19" x14ac:dyDescent="0.35">
      <c r="B57" s="91"/>
    </row>
    <row r="58" spans="2:19" x14ac:dyDescent="0.35">
      <c r="B58" s="4"/>
      <c r="C58" s="4"/>
      <c r="D58" s="4"/>
      <c r="E58" s="4"/>
      <c r="F58" s="4"/>
      <c r="G58" s="4"/>
      <c r="H58" s="4"/>
      <c r="I58" s="4"/>
      <c r="J58" s="4"/>
      <c r="K58" s="4"/>
      <c r="L58" s="4"/>
      <c r="M58" s="4"/>
      <c r="N58" s="4"/>
      <c r="O58" s="4"/>
      <c r="P58" s="4"/>
      <c r="Q58" s="4"/>
      <c r="R58" s="4"/>
      <c r="S58" s="4"/>
    </row>
    <row r="59" spans="2:19" x14ac:dyDescent="0.35">
      <c r="B59" s="23"/>
    </row>
    <row r="60" spans="2:19" x14ac:dyDescent="0.35">
      <c r="B60" s="23"/>
    </row>
    <row r="61" spans="2:19" x14ac:dyDescent="0.35">
      <c r="B61" s="23"/>
    </row>
    <row r="62" spans="2:19" x14ac:dyDescent="0.35">
      <c r="B62" s="23"/>
    </row>
    <row r="63" spans="2:19" x14ac:dyDescent="0.35">
      <c r="B63" s="23"/>
    </row>
    <row r="64" spans="2:19" x14ac:dyDescent="0.35">
      <c r="B64" s="23"/>
    </row>
  </sheetData>
  <mergeCells count="24">
    <mergeCell ref="B55:O55"/>
    <mergeCell ref="B56:P56"/>
    <mergeCell ref="X2:AA2"/>
    <mergeCell ref="X3:X5"/>
    <mergeCell ref="Y3:Y4"/>
    <mergeCell ref="Z3:Z4"/>
    <mergeCell ref="AA3:AA4"/>
    <mergeCell ref="Q34:Q36"/>
    <mergeCell ref="B54:P54"/>
    <mergeCell ref="R34:R36"/>
    <mergeCell ref="B5:J7"/>
    <mergeCell ref="B8:J12"/>
    <mergeCell ref="B19:J21"/>
    <mergeCell ref="B25:J29"/>
    <mergeCell ref="O3:Q4"/>
    <mergeCell ref="R3:T4"/>
    <mergeCell ref="R15:T15"/>
    <mergeCell ref="N3:N4"/>
    <mergeCell ref="A5:A17"/>
    <mergeCell ref="A19:A29"/>
    <mergeCell ref="B22:J24"/>
    <mergeCell ref="M3:M4"/>
    <mergeCell ref="L3:L5"/>
    <mergeCell ref="B13:J17"/>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B2:O25"/>
  <sheetViews>
    <sheetView zoomScale="112" zoomScaleNormal="112" workbookViewId="0">
      <selection activeCell="D16" sqref="D16"/>
    </sheetView>
  </sheetViews>
  <sheetFormatPr defaultColWidth="8.7265625" defaultRowHeight="14.5" x14ac:dyDescent="0.35"/>
  <cols>
    <col min="2" max="2" width="30.7265625" customWidth="1"/>
    <col min="3" max="3" width="19.1796875" customWidth="1"/>
    <col min="4" max="4" width="25.1796875" customWidth="1"/>
    <col min="5" max="5" width="14.26953125" customWidth="1"/>
    <col min="6" max="6" width="15.1796875" customWidth="1"/>
    <col min="7" max="7" width="11.453125" customWidth="1"/>
    <col min="8" max="8" width="14" customWidth="1"/>
    <col min="9" max="9" width="15.81640625" customWidth="1"/>
    <col min="15" max="15" width="41.26953125" customWidth="1"/>
    <col min="16" max="16" width="14.26953125" customWidth="1"/>
    <col min="17" max="17" width="14.54296875" customWidth="1"/>
    <col min="18" max="18" width="18.7265625" customWidth="1"/>
    <col min="19" max="19" width="10.26953125" customWidth="1"/>
  </cols>
  <sheetData>
    <row r="2" spans="2:10" x14ac:dyDescent="0.35">
      <c r="E2" s="433" t="s">
        <v>389</v>
      </c>
      <c r="F2" s="433"/>
      <c r="G2" s="433"/>
      <c r="H2" s="433"/>
      <c r="I2" s="433"/>
    </row>
    <row r="3" spans="2:10" x14ac:dyDescent="0.35">
      <c r="B3" s="411" t="s">
        <v>390</v>
      </c>
      <c r="C3" s="385" t="s">
        <v>391</v>
      </c>
      <c r="D3" s="385"/>
      <c r="E3" s="440" t="s">
        <v>392</v>
      </c>
      <c r="F3" s="440"/>
      <c r="G3" s="440"/>
      <c r="H3" s="434" t="s">
        <v>44</v>
      </c>
      <c r="I3" s="434"/>
    </row>
    <row r="4" spans="2:10" ht="15" customHeight="1" x14ac:dyDescent="0.35">
      <c r="B4" s="439"/>
      <c r="C4" s="385"/>
      <c r="D4" s="385"/>
      <c r="E4" s="440"/>
      <c r="F4" s="440"/>
      <c r="G4" s="440"/>
      <c r="H4" s="434"/>
      <c r="I4" s="434"/>
    </row>
    <row r="5" spans="2:10" x14ac:dyDescent="0.35">
      <c r="B5" s="412"/>
      <c r="C5" s="7" t="s">
        <v>393</v>
      </c>
      <c r="D5" s="8" t="s">
        <v>394</v>
      </c>
      <c r="E5" s="163" t="s">
        <v>395</v>
      </c>
      <c r="F5" s="163" t="s">
        <v>396</v>
      </c>
      <c r="G5" s="163" t="s">
        <v>397</v>
      </c>
      <c r="H5" s="163" t="s">
        <v>398</v>
      </c>
      <c r="I5" s="163" t="s">
        <v>399</v>
      </c>
    </row>
    <row r="6" spans="2:10" x14ac:dyDescent="0.35">
      <c r="B6" s="42" t="s">
        <v>243</v>
      </c>
      <c r="C6" s="9" t="s">
        <v>400</v>
      </c>
      <c r="D6" s="51" t="s">
        <v>401</v>
      </c>
      <c r="E6" s="51" t="s">
        <v>402</v>
      </c>
      <c r="F6" s="51" t="s">
        <v>403</v>
      </c>
      <c r="G6" s="51" t="s">
        <v>404</v>
      </c>
      <c r="H6" s="130" t="s">
        <v>25</v>
      </c>
      <c r="I6" s="130" t="s">
        <v>405</v>
      </c>
    </row>
    <row r="7" spans="2:10" x14ac:dyDescent="0.35">
      <c r="B7" s="152" t="s">
        <v>406</v>
      </c>
      <c r="C7" s="48" t="s">
        <v>407</v>
      </c>
      <c r="D7" s="151">
        <v>5.0000000000000001E-3</v>
      </c>
      <c r="E7" s="151" t="s">
        <v>408</v>
      </c>
      <c r="F7" s="151" t="s">
        <v>408</v>
      </c>
      <c r="G7" s="151" t="s">
        <v>409</v>
      </c>
      <c r="H7" s="130" t="s">
        <v>25</v>
      </c>
      <c r="I7" s="130" t="s">
        <v>410</v>
      </c>
    </row>
    <row r="8" spans="2:10" x14ac:dyDescent="0.35">
      <c r="B8" s="42" t="s">
        <v>256</v>
      </c>
      <c r="C8" s="165" t="s">
        <v>335</v>
      </c>
      <c r="D8" s="51" t="s">
        <v>411</v>
      </c>
      <c r="E8" s="51" t="s">
        <v>412</v>
      </c>
      <c r="F8" s="51" t="s">
        <v>413</v>
      </c>
      <c r="G8" s="51" t="s">
        <v>413</v>
      </c>
      <c r="H8" s="130" t="s">
        <v>414</v>
      </c>
      <c r="I8" s="130" t="s">
        <v>415</v>
      </c>
    </row>
    <row r="9" spans="2:10" x14ac:dyDescent="0.35">
      <c r="B9" s="382" t="s">
        <v>368</v>
      </c>
      <c r="C9" s="442" t="s">
        <v>416</v>
      </c>
      <c r="D9" s="420" t="s">
        <v>25</v>
      </c>
      <c r="E9" s="420" t="s">
        <v>417</v>
      </c>
      <c r="F9" s="420" t="s">
        <v>418</v>
      </c>
      <c r="G9" s="420" t="s">
        <v>419</v>
      </c>
      <c r="H9" s="130" t="s">
        <v>25</v>
      </c>
      <c r="I9" s="130" t="s">
        <v>420</v>
      </c>
      <c r="J9" t="s">
        <v>421</v>
      </c>
    </row>
    <row r="10" spans="2:10" x14ac:dyDescent="0.35">
      <c r="B10" s="384"/>
      <c r="C10" s="443"/>
      <c r="D10" s="422"/>
      <c r="E10" s="422"/>
      <c r="F10" s="422"/>
      <c r="G10" s="422"/>
      <c r="H10" s="130" t="s">
        <v>25</v>
      </c>
      <c r="I10" s="130" t="s">
        <v>422</v>
      </c>
      <c r="J10" t="s">
        <v>423</v>
      </c>
    </row>
    <row r="11" spans="2:10" x14ac:dyDescent="0.35">
      <c r="B11" s="42" t="s">
        <v>424</v>
      </c>
      <c r="C11" s="46" t="s">
        <v>425</v>
      </c>
      <c r="D11" s="51" t="s">
        <v>426</v>
      </c>
      <c r="E11" s="51">
        <v>20</v>
      </c>
      <c r="F11" s="51" t="s">
        <v>427</v>
      </c>
      <c r="G11" s="51" t="s">
        <v>428</v>
      </c>
      <c r="H11" s="130" t="s">
        <v>25</v>
      </c>
      <c r="I11" s="130" t="s">
        <v>414</v>
      </c>
    </row>
    <row r="12" spans="2:10" ht="27" customHeight="1" x14ac:dyDescent="0.35">
      <c r="B12" s="42" t="s">
        <v>33</v>
      </c>
      <c r="C12" s="23" t="s">
        <v>429</v>
      </c>
      <c r="D12" s="354" t="s">
        <v>430</v>
      </c>
      <c r="E12" s="435"/>
      <c r="F12" s="435"/>
      <c r="G12" s="355"/>
      <c r="H12" s="441" t="s">
        <v>431</v>
      </c>
      <c r="I12" s="251"/>
    </row>
    <row r="13" spans="2:10" x14ac:dyDescent="0.35">
      <c r="B13" s="42" t="s">
        <v>35</v>
      </c>
      <c r="C13" s="166" t="s">
        <v>432</v>
      </c>
      <c r="D13" s="436" t="s">
        <v>433</v>
      </c>
      <c r="E13" s="437"/>
      <c r="F13" s="437"/>
      <c r="G13" s="438"/>
      <c r="H13" s="249" t="s">
        <v>434</v>
      </c>
      <c r="I13" s="251"/>
    </row>
    <row r="14" spans="2:10" x14ac:dyDescent="0.35">
      <c r="B14" s="12" t="s">
        <v>154</v>
      </c>
      <c r="C14" s="72" t="s">
        <v>435</v>
      </c>
      <c r="D14" s="13" t="s">
        <v>436</v>
      </c>
      <c r="E14" s="354" t="s">
        <v>437</v>
      </c>
      <c r="F14" s="435"/>
      <c r="G14" s="355"/>
      <c r="H14" s="249" t="s">
        <v>437</v>
      </c>
      <c r="I14" s="251"/>
    </row>
    <row r="15" spans="2:10" x14ac:dyDescent="0.35">
      <c r="B15" s="12" t="s">
        <v>438</v>
      </c>
      <c r="C15" s="13" t="s">
        <v>439</v>
      </c>
      <c r="D15" s="13" t="s">
        <v>440</v>
      </c>
      <c r="E15" s="354" t="s">
        <v>25</v>
      </c>
      <c r="F15" s="435"/>
      <c r="G15" s="355"/>
      <c r="H15" s="249" t="s">
        <v>25</v>
      </c>
      <c r="I15" s="251"/>
    </row>
    <row r="16" spans="2:10" ht="29.25" customHeight="1" x14ac:dyDescent="0.35">
      <c r="B16" s="6" t="s">
        <v>441</v>
      </c>
      <c r="C16" s="51" t="s">
        <v>442</v>
      </c>
      <c r="D16" s="51" t="s">
        <v>443</v>
      </c>
      <c r="E16" s="354" t="s">
        <v>25</v>
      </c>
      <c r="F16" s="435"/>
      <c r="G16" s="355"/>
      <c r="H16" s="249" t="s">
        <v>25</v>
      </c>
      <c r="I16" s="251"/>
    </row>
    <row r="17" spans="2:15" x14ac:dyDescent="0.35">
      <c r="B17" s="6" t="s">
        <v>444</v>
      </c>
      <c r="C17" s="51" t="s">
        <v>445</v>
      </c>
      <c r="D17" s="51" t="s">
        <v>446</v>
      </c>
      <c r="E17" s="354" t="s">
        <v>447</v>
      </c>
      <c r="F17" s="435"/>
      <c r="G17" s="355"/>
      <c r="H17" s="249" t="s">
        <v>447</v>
      </c>
      <c r="I17" s="251"/>
    </row>
    <row r="18" spans="2:15" x14ac:dyDescent="0.35">
      <c r="B18" s="161" t="s">
        <v>448</v>
      </c>
      <c r="C18" s="14" t="s">
        <v>429</v>
      </c>
      <c r="D18" s="130" t="s">
        <v>25</v>
      </c>
      <c r="E18" s="130" t="s">
        <v>449</v>
      </c>
      <c r="F18" s="130" t="s">
        <v>450</v>
      </c>
      <c r="G18" s="130" t="s">
        <v>451</v>
      </c>
      <c r="H18" s="249" t="s">
        <v>25</v>
      </c>
      <c r="I18" s="251"/>
    </row>
    <row r="19" spans="2:15" x14ac:dyDescent="0.35">
      <c r="B19" s="161" t="s">
        <v>452</v>
      </c>
      <c r="C19" s="14" t="s">
        <v>407</v>
      </c>
      <c r="D19" s="130" t="s">
        <v>25</v>
      </c>
      <c r="E19" s="130" t="s">
        <v>453</v>
      </c>
      <c r="F19" s="130" t="s">
        <v>454</v>
      </c>
      <c r="G19" s="130" t="s">
        <v>455</v>
      </c>
      <c r="H19" s="130" t="s">
        <v>25</v>
      </c>
      <c r="I19" s="130" t="s">
        <v>456</v>
      </c>
    </row>
    <row r="20" spans="2:15" ht="16.5" x14ac:dyDescent="0.35">
      <c r="B20" s="164" t="s">
        <v>457</v>
      </c>
      <c r="C20" s="153" t="s">
        <v>458</v>
      </c>
      <c r="D20" s="130" t="s">
        <v>25</v>
      </c>
      <c r="E20" s="130"/>
      <c r="F20" s="249" t="s">
        <v>459</v>
      </c>
      <c r="G20" s="250"/>
      <c r="H20" s="250"/>
      <c r="I20" s="251"/>
    </row>
    <row r="21" spans="2:15" x14ac:dyDescent="0.35">
      <c r="B21" s="161" t="s">
        <v>460</v>
      </c>
      <c r="C21" s="14"/>
      <c r="D21" s="14"/>
      <c r="E21" s="14"/>
      <c r="F21" s="14"/>
      <c r="G21" s="14"/>
      <c r="H21" s="262" t="s">
        <v>461</v>
      </c>
      <c r="I21" s="262"/>
    </row>
    <row r="23" spans="2:15" x14ac:dyDescent="0.35">
      <c r="B23" t="s">
        <v>462</v>
      </c>
    </row>
    <row r="25" spans="2:15" ht="113.25" customHeight="1" x14ac:dyDescent="0.35">
      <c r="B25" s="349" t="s">
        <v>463</v>
      </c>
      <c r="C25" s="349"/>
      <c r="D25" s="349"/>
      <c r="E25" s="349"/>
      <c r="F25" s="349"/>
      <c r="G25" s="349"/>
      <c r="H25" s="349"/>
      <c r="I25" s="349"/>
      <c r="J25" s="349"/>
      <c r="K25" s="349"/>
      <c r="L25" s="349"/>
      <c r="M25" s="349"/>
      <c r="N25" s="349"/>
      <c r="O25" s="349"/>
    </row>
  </sheetData>
  <mergeCells count="27">
    <mergeCell ref="H15:I15"/>
    <mergeCell ref="H16:I16"/>
    <mergeCell ref="H17:I17"/>
    <mergeCell ref="H18:I18"/>
    <mergeCell ref="F20:I20"/>
    <mergeCell ref="B25:O25"/>
    <mergeCell ref="B3:B5"/>
    <mergeCell ref="C3:D4"/>
    <mergeCell ref="E3:G4"/>
    <mergeCell ref="E17:G17"/>
    <mergeCell ref="E15:G15"/>
    <mergeCell ref="E16:G16"/>
    <mergeCell ref="H12:I12"/>
    <mergeCell ref="H21:I21"/>
    <mergeCell ref="B9:B10"/>
    <mergeCell ref="C9:C10"/>
    <mergeCell ref="D9:D10"/>
    <mergeCell ref="E9:E10"/>
    <mergeCell ref="F9:F10"/>
    <mergeCell ref="G9:G10"/>
    <mergeCell ref="H13:I13"/>
    <mergeCell ref="E2:I2"/>
    <mergeCell ref="H3:I4"/>
    <mergeCell ref="D12:G12"/>
    <mergeCell ref="D13:G13"/>
    <mergeCell ref="E14:G14"/>
    <mergeCell ref="H14:I1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1:K128"/>
  <sheetViews>
    <sheetView topLeftCell="B91" zoomScale="73" zoomScaleNormal="73" workbookViewId="0">
      <selection activeCell="E98" sqref="E98"/>
    </sheetView>
  </sheetViews>
  <sheetFormatPr defaultColWidth="8.7265625" defaultRowHeight="14.5" x14ac:dyDescent="0.35"/>
  <cols>
    <col min="2" max="2" width="35.453125" customWidth="1"/>
    <col min="3" max="3" width="22.7265625" customWidth="1"/>
    <col min="4" max="6" width="18.1796875" style="23" customWidth="1"/>
    <col min="7" max="7" width="19.1796875" customWidth="1"/>
    <col min="8" max="10" width="14.26953125" customWidth="1"/>
    <col min="11" max="11" width="67.81640625" customWidth="1"/>
  </cols>
  <sheetData>
    <row r="1" spans="2:2" x14ac:dyDescent="0.35">
      <c r="B1" s="39" t="s">
        <v>464</v>
      </c>
    </row>
    <row r="2" spans="2:2" x14ac:dyDescent="0.35">
      <c r="B2" t="s">
        <v>465</v>
      </c>
    </row>
    <row r="3" spans="2:2" x14ac:dyDescent="0.35">
      <c r="B3" t="s">
        <v>466</v>
      </c>
    </row>
    <row r="4" spans="2:2" x14ac:dyDescent="0.35">
      <c r="B4" t="s">
        <v>467</v>
      </c>
    </row>
    <row r="5" spans="2:2" x14ac:dyDescent="0.35">
      <c r="B5" s="39" t="s">
        <v>468</v>
      </c>
    </row>
    <row r="6" spans="2:2" x14ac:dyDescent="0.35">
      <c r="B6" s="39" t="s">
        <v>469</v>
      </c>
    </row>
    <row r="7" spans="2:2" x14ac:dyDescent="0.35">
      <c r="B7" s="39" t="s">
        <v>470</v>
      </c>
    </row>
    <row r="8" spans="2:2" x14ac:dyDescent="0.35">
      <c r="B8" t="s">
        <v>471</v>
      </c>
    </row>
    <row r="9" spans="2:2" x14ac:dyDescent="0.35">
      <c r="B9" t="s">
        <v>472</v>
      </c>
    </row>
    <row r="10" spans="2:2" x14ac:dyDescent="0.35">
      <c r="B10" t="s">
        <v>473</v>
      </c>
    </row>
    <row r="11" spans="2:2" x14ac:dyDescent="0.35">
      <c r="B11" s="39" t="s">
        <v>474</v>
      </c>
    </row>
    <row r="12" spans="2:2" x14ac:dyDescent="0.35">
      <c r="B12" t="s">
        <v>475</v>
      </c>
    </row>
    <row r="13" spans="2:2" x14ac:dyDescent="0.35">
      <c r="B13" t="s">
        <v>476</v>
      </c>
    </row>
    <row r="14" spans="2:2" x14ac:dyDescent="0.35">
      <c r="B14" t="s">
        <v>477</v>
      </c>
    </row>
    <row r="15" spans="2:2" x14ac:dyDescent="0.35">
      <c r="B15" t="s">
        <v>478</v>
      </c>
    </row>
    <row r="16" spans="2:2" x14ac:dyDescent="0.35">
      <c r="B16" t="s">
        <v>479</v>
      </c>
    </row>
    <row r="18" spans="2:6" x14ac:dyDescent="0.35">
      <c r="B18" s="39" t="s">
        <v>480</v>
      </c>
    </row>
    <row r="19" spans="2:6" x14ac:dyDescent="0.35">
      <c r="B19" s="147" t="s">
        <v>481</v>
      </c>
      <c r="C19" s="130" t="s">
        <v>393</v>
      </c>
      <c r="D19" s="130" t="s">
        <v>395</v>
      </c>
      <c r="E19" s="130" t="s">
        <v>396</v>
      </c>
      <c r="F19" s="130" t="s">
        <v>397</v>
      </c>
    </row>
    <row r="20" spans="2:6" x14ac:dyDescent="0.35">
      <c r="B20" s="147" t="s">
        <v>482</v>
      </c>
      <c r="C20" s="14" t="s">
        <v>429</v>
      </c>
      <c r="D20" s="262" t="s">
        <v>483</v>
      </c>
      <c r="E20" s="262"/>
      <c r="F20" s="262"/>
    </row>
    <row r="21" spans="2:6" x14ac:dyDescent="0.35">
      <c r="B21" s="14" t="s">
        <v>484</v>
      </c>
      <c r="C21" s="14" t="s">
        <v>429</v>
      </c>
      <c r="D21" s="130" t="s">
        <v>449</v>
      </c>
      <c r="E21" s="130" t="s">
        <v>450</v>
      </c>
      <c r="F21" s="130" t="s">
        <v>451</v>
      </c>
    </row>
    <row r="22" spans="2:6" x14ac:dyDescent="0.35">
      <c r="B22" s="14" t="s">
        <v>485</v>
      </c>
      <c r="C22" s="161" t="s">
        <v>486</v>
      </c>
      <c r="D22" s="130" t="s">
        <v>412</v>
      </c>
      <c r="E22" s="130" t="s">
        <v>413</v>
      </c>
      <c r="F22" s="130" t="s">
        <v>413</v>
      </c>
    </row>
    <row r="23" spans="2:6" ht="16.5" x14ac:dyDescent="0.35">
      <c r="B23" s="14" t="s">
        <v>487</v>
      </c>
      <c r="C23" s="161" t="s">
        <v>488</v>
      </c>
      <c r="D23" s="130" t="s">
        <v>489</v>
      </c>
      <c r="E23" s="130" t="s">
        <v>427</v>
      </c>
      <c r="F23" s="130" t="s">
        <v>428</v>
      </c>
    </row>
    <row r="24" spans="2:6" ht="29" x14ac:dyDescent="0.35">
      <c r="B24" s="14" t="s">
        <v>490</v>
      </c>
      <c r="C24" s="162" t="s">
        <v>491</v>
      </c>
      <c r="D24" s="130" t="s">
        <v>402</v>
      </c>
      <c r="E24" s="130" t="s">
        <v>403</v>
      </c>
      <c r="F24" s="130" t="s">
        <v>404</v>
      </c>
    </row>
    <row r="25" spans="2:6" x14ac:dyDescent="0.35">
      <c r="B25" s="452" t="s">
        <v>492</v>
      </c>
      <c r="C25" s="492" t="s">
        <v>407</v>
      </c>
      <c r="D25" s="130" t="s">
        <v>408</v>
      </c>
      <c r="E25" s="130" t="s">
        <v>408</v>
      </c>
      <c r="F25" s="130" t="s">
        <v>409</v>
      </c>
    </row>
    <row r="26" spans="2:6" x14ac:dyDescent="0.35">
      <c r="B26" s="491"/>
      <c r="C26" s="493"/>
      <c r="D26" s="130"/>
      <c r="E26" s="130"/>
      <c r="F26" s="130"/>
    </row>
    <row r="27" spans="2:6" x14ac:dyDescent="0.35">
      <c r="B27" s="14" t="s">
        <v>452</v>
      </c>
      <c r="C27" s="14" t="s">
        <v>407</v>
      </c>
      <c r="D27" s="130" t="s">
        <v>453</v>
      </c>
      <c r="E27" s="130" t="s">
        <v>454</v>
      </c>
      <c r="F27" s="130" t="s">
        <v>455</v>
      </c>
    </row>
    <row r="28" spans="2:6" ht="43.5" x14ac:dyDescent="0.35">
      <c r="B28" s="154" t="s">
        <v>493</v>
      </c>
      <c r="C28" s="153" t="s">
        <v>494</v>
      </c>
      <c r="D28" s="262" t="s">
        <v>495</v>
      </c>
      <c r="E28" s="262"/>
      <c r="F28" s="262"/>
    </row>
    <row r="29" spans="2:6" x14ac:dyDescent="0.35">
      <c r="B29" s="14" t="s">
        <v>496</v>
      </c>
      <c r="C29" s="14" t="s">
        <v>497</v>
      </c>
      <c r="D29" s="262" t="s">
        <v>437</v>
      </c>
      <c r="E29" s="262"/>
      <c r="F29" s="262"/>
    </row>
    <row r="30" spans="2:6" ht="29" x14ac:dyDescent="0.35">
      <c r="B30" s="14" t="s">
        <v>498</v>
      </c>
      <c r="C30" s="162" t="s">
        <v>499</v>
      </c>
      <c r="D30" s="130" t="s">
        <v>417</v>
      </c>
      <c r="E30" s="130" t="s">
        <v>418</v>
      </c>
      <c r="F30" s="130" t="s">
        <v>419</v>
      </c>
    </row>
    <row r="31" spans="2:6" x14ac:dyDescent="0.35">
      <c r="B31" s="14" t="s">
        <v>500</v>
      </c>
      <c r="C31" s="14" t="s">
        <v>445</v>
      </c>
      <c r="D31" s="262" t="s">
        <v>447</v>
      </c>
      <c r="E31" s="262"/>
      <c r="F31" s="262"/>
    </row>
    <row r="32" spans="2:6" ht="16.5" x14ac:dyDescent="0.35">
      <c r="B32" s="148" t="s">
        <v>457</v>
      </c>
      <c r="C32" s="153" t="s">
        <v>458</v>
      </c>
      <c r="D32" s="130" t="s">
        <v>501</v>
      </c>
      <c r="E32" s="130" t="s">
        <v>25</v>
      </c>
      <c r="F32" s="130" t="s">
        <v>459</v>
      </c>
    </row>
    <row r="33" spans="2:10" x14ac:dyDescent="0.35">
      <c r="B33" t="s">
        <v>502</v>
      </c>
    </row>
    <row r="34" spans="2:10" x14ac:dyDescent="0.35">
      <c r="B34" t="s">
        <v>503</v>
      </c>
    </row>
    <row r="35" spans="2:10" x14ac:dyDescent="0.35">
      <c r="B35" t="s">
        <v>504</v>
      </c>
    </row>
    <row r="36" spans="2:10" x14ac:dyDescent="0.35">
      <c r="B36" t="s">
        <v>505</v>
      </c>
    </row>
    <row r="37" spans="2:10" x14ac:dyDescent="0.35">
      <c r="B37" t="s">
        <v>506</v>
      </c>
      <c r="C37" t="s">
        <v>507</v>
      </c>
    </row>
    <row r="39" spans="2:10" ht="16.5" x14ac:dyDescent="0.35">
      <c r="B39" s="39" t="s">
        <v>508</v>
      </c>
    </row>
    <row r="40" spans="2:10" ht="16.5" x14ac:dyDescent="0.35">
      <c r="B40" s="130" t="s">
        <v>509</v>
      </c>
      <c r="C40" s="262" t="s">
        <v>510</v>
      </c>
      <c r="D40" s="262"/>
      <c r="E40" s="262"/>
      <c r="F40" s="262"/>
      <c r="G40" s="262"/>
      <c r="H40" s="262"/>
      <c r="I40" s="262"/>
      <c r="J40" s="262"/>
    </row>
    <row r="41" spans="2:10" ht="16.5" x14ac:dyDescent="0.35">
      <c r="B41" s="14"/>
      <c r="C41" s="130" t="s">
        <v>511</v>
      </c>
      <c r="D41" s="130" t="s">
        <v>512</v>
      </c>
      <c r="E41" s="130" t="s">
        <v>513</v>
      </c>
      <c r="F41" s="130" t="s">
        <v>514</v>
      </c>
      <c r="G41" s="155" t="s">
        <v>515</v>
      </c>
      <c r="H41" s="155" t="s">
        <v>516</v>
      </c>
      <c r="I41" s="130" t="s">
        <v>517</v>
      </c>
      <c r="J41" s="130" t="s">
        <v>518</v>
      </c>
    </row>
    <row r="42" spans="2:10" ht="16.5" x14ac:dyDescent="0.35">
      <c r="B42" s="14" t="s">
        <v>519</v>
      </c>
      <c r="C42" s="130" t="s">
        <v>520</v>
      </c>
      <c r="D42" s="130" t="s">
        <v>521</v>
      </c>
      <c r="E42" s="130" t="s">
        <v>522</v>
      </c>
      <c r="F42" s="130" t="s">
        <v>523</v>
      </c>
      <c r="G42" s="130" t="s">
        <v>520</v>
      </c>
      <c r="H42" s="130" t="s">
        <v>524</v>
      </c>
      <c r="I42" s="130" t="s">
        <v>524</v>
      </c>
      <c r="J42" s="130" t="s">
        <v>525</v>
      </c>
    </row>
    <row r="43" spans="2:10" x14ac:dyDescent="0.35">
      <c r="B43" s="14" t="s">
        <v>526</v>
      </c>
      <c r="C43" s="262" t="s">
        <v>527</v>
      </c>
      <c r="D43" s="262"/>
      <c r="E43" s="262"/>
      <c r="F43" s="262"/>
      <c r="G43" s="262"/>
      <c r="H43" s="262"/>
      <c r="I43" s="262"/>
      <c r="J43" s="262"/>
    </row>
    <row r="44" spans="2:10" x14ac:dyDescent="0.35">
      <c r="B44" s="14" t="s">
        <v>528</v>
      </c>
      <c r="C44" s="262" t="s">
        <v>529</v>
      </c>
      <c r="D44" s="262"/>
      <c r="E44" s="262"/>
      <c r="F44" s="262"/>
      <c r="G44" s="262"/>
      <c r="H44" s="262"/>
      <c r="I44" s="262"/>
      <c r="J44" s="262"/>
    </row>
    <row r="45" spans="2:10" x14ac:dyDescent="0.35">
      <c r="B45" s="14" t="s">
        <v>530</v>
      </c>
      <c r="C45" s="262" t="s">
        <v>531</v>
      </c>
      <c r="D45" s="262"/>
      <c r="E45" s="262"/>
      <c r="F45" s="262"/>
      <c r="G45" s="262"/>
      <c r="H45" s="262"/>
      <c r="I45" s="262"/>
      <c r="J45" s="262"/>
    </row>
    <row r="46" spans="2:10" x14ac:dyDescent="0.35">
      <c r="B46" t="s">
        <v>532</v>
      </c>
    </row>
    <row r="47" spans="2:10" x14ac:dyDescent="0.35">
      <c r="B47" t="s">
        <v>533</v>
      </c>
    </row>
    <row r="48" spans="2:10" x14ac:dyDescent="0.35">
      <c r="B48" t="s">
        <v>534</v>
      </c>
    </row>
    <row r="49" spans="2:11" x14ac:dyDescent="0.35">
      <c r="B49" t="s">
        <v>535</v>
      </c>
    </row>
    <row r="50" spans="2:11" x14ac:dyDescent="0.35">
      <c r="B50" t="s">
        <v>536</v>
      </c>
    </row>
    <row r="51" spans="2:11" x14ac:dyDescent="0.35">
      <c r="B51" t="s">
        <v>537</v>
      </c>
    </row>
    <row r="52" spans="2:11" x14ac:dyDescent="0.35">
      <c r="B52" t="s">
        <v>538</v>
      </c>
    </row>
    <row r="53" spans="2:11" x14ac:dyDescent="0.35">
      <c r="B53" t="s">
        <v>539</v>
      </c>
    </row>
    <row r="54" spans="2:11" x14ac:dyDescent="0.35">
      <c r="B54" t="s">
        <v>540</v>
      </c>
    </row>
    <row r="56" spans="2:11" x14ac:dyDescent="0.35">
      <c r="B56" s="39" t="s">
        <v>541</v>
      </c>
    </row>
    <row r="57" spans="2:11" ht="45" customHeight="1" x14ac:dyDescent="0.35">
      <c r="B57" s="146" t="s">
        <v>542</v>
      </c>
      <c r="C57" s="146" t="s">
        <v>543</v>
      </c>
      <c r="D57" s="197" t="s">
        <v>544</v>
      </c>
      <c r="E57" s="197"/>
      <c r="F57" s="197"/>
      <c r="G57" s="197" t="s">
        <v>545</v>
      </c>
      <c r="H57" s="197"/>
      <c r="I57" s="197"/>
      <c r="J57" s="197"/>
      <c r="K57" s="134" t="s">
        <v>546</v>
      </c>
    </row>
    <row r="58" spans="2:11" x14ac:dyDescent="0.35">
      <c r="B58" s="14"/>
      <c r="C58" s="14"/>
      <c r="D58" s="146" t="s">
        <v>547</v>
      </c>
      <c r="E58" s="146" t="s">
        <v>548</v>
      </c>
      <c r="F58" s="134" t="s">
        <v>549</v>
      </c>
      <c r="G58" s="249"/>
      <c r="H58" s="250"/>
      <c r="I58" s="250"/>
      <c r="J58" s="251"/>
      <c r="K58" s="14"/>
    </row>
    <row r="59" spans="2:11" ht="43.5" x14ac:dyDescent="0.35">
      <c r="B59" s="156" t="s">
        <v>550</v>
      </c>
      <c r="C59" s="156" t="s">
        <v>551</v>
      </c>
      <c r="D59" s="146" t="s">
        <v>431</v>
      </c>
      <c r="E59" s="134"/>
      <c r="F59" s="146" t="s">
        <v>552</v>
      </c>
      <c r="G59" s="197" t="s">
        <v>553</v>
      </c>
      <c r="H59" s="197"/>
      <c r="I59" s="197"/>
      <c r="J59" s="197"/>
      <c r="K59" s="156" t="s">
        <v>554</v>
      </c>
    </row>
    <row r="60" spans="2:11" ht="21.75" customHeight="1" x14ac:dyDescent="0.35">
      <c r="B60" s="484" t="s">
        <v>555</v>
      </c>
      <c r="C60" s="130" t="s">
        <v>556</v>
      </c>
      <c r="D60" s="130" t="s">
        <v>557</v>
      </c>
      <c r="E60" s="130" t="s">
        <v>558</v>
      </c>
      <c r="F60" s="130" t="s">
        <v>559</v>
      </c>
      <c r="G60" s="487" t="s">
        <v>560</v>
      </c>
      <c r="H60" s="490"/>
      <c r="I60" s="490"/>
      <c r="J60" s="490"/>
      <c r="K60" s="262"/>
    </row>
    <row r="61" spans="2:11" ht="21.75" customHeight="1" x14ac:dyDescent="0.35">
      <c r="B61" s="485"/>
      <c r="C61" s="130" t="s">
        <v>561</v>
      </c>
      <c r="D61" s="130" t="s">
        <v>562</v>
      </c>
      <c r="E61" s="130" t="s">
        <v>563</v>
      </c>
      <c r="F61" s="130" t="s">
        <v>415</v>
      </c>
      <c r="G61" s="490"/>
      <c r="H61" s="490"/>
      <c r="I61" s="490"/>
      <c r="J61" s="490"/>
      <c r="K61" s="262"/>
    </row>
    <row r="62" spans="2:11" ht="21.75" customHeight="1" x14ac:dyDescent="0.35">
      <c r="B62" s="485"/>
      <c r="C62" s="150" t="s">
        <v>564</v>
      </c>
      <c r="D62" s="150" t="s">
        <v>565</v>
      </c>
      <c r="E62" s="130" t="s">
        <v>566</v>
      </c>
      <c r="F62" s="130" t="s">
        <v>414</v>
      </c>
      <c r="G62" s="490"/>
      <c r="H62" s="490"/>
      <c r="I62" s="490"/>
      <c r="J62" s="490"/>
      <c r="K62" s="262"/>
    </row>
    <row r="63" spans="2:11" ht="21.75" customHeight="1" x14ac:dyDescent="0.35">
      <c r="B63" s="485"/>
      <c r="C63" s="255" t="s">
        <v>517</v>
      </c>
      <c r="D63" s="262" t="s">
        <v>567</v>
      </c>
      <c r="E63" s="262"/>
      <c r="F63" s="262"/>
      <c r="G63" s="490"/>
      <c r="H63" s="490"/>
      <c r="I63" s="490"/>
      <c r="J63" s="490"/>
      <c r="K63" s="262"/>
    </row>
    <row r="64" spans="2:11" ht="21.75" customHeight="1" x14ac:dyDescent="0.35">
      <c r="B64" s="485"/>
      <c r="C64" s="255"/>
      <c r="D64" s="262" t="s">
        <v>568</v>
      </c>
      <c r="E64" s="262"/>
      <c r="F64" s="262"/>
      <c r="G64" s="490"/>
      <c r="H64" s="490"/>
      <c r="I64" s="490"/>
      <c r="J64" s="490"/>
      <c r="K64" s="262"/>
    </row>
    <row r="65" spans="2:11" ht="21.75" customHeight="1" x14ac:dyDescent="0.35">
      <c r="B65" s="486"/>
      <c r="C65" s="130" t="s">
        <v>569</v>
      </c>
      <c r="D65" s="262" t="s">
        <v>414</v>
      </c>
      <c r="E65" s="262"/>
      <c r="F65" s="262"/>
      <c r="G65" s="490"/>
      <c r="H65" s="490"/>
      <c r="I65" s="490"/>
      <c r="J65" s="490"/>
      <c r="K65" s="262"/>
    </row>
    <row r="66" spans="2:11" ht="24.75" customHeight="1" x14ac:dyDescent="0.35">
      <c r="B66" s="192" t="s">
        <v>570</v>
      </c>
      <c r="C66" s="130" t="s">
        <v>571</v>
      </c>
      <c r="D66" s="130" t="s">
        <v>572</v>
      </c>
      <c r="E66" s="130" t="s">
        <v>573</v>
      </c>
      <c r="F66" s="130" t="s">
        <v>574</v>
      </c>
      <c r="G66" s="487" t="s">
        <v>575</v>
      </c>
      <c r="H66" s="487"/>
      <c r="I66" s="487"/>
      <c r="J66" s="487"/>
      <c r="K66" s="488" t="s">
        <v>576</v>
      </c>
    </row>
    <row r="67" spans="2:11" ht="24.75" customHeight="1" x14ac:dyDescent="0.35">
      <c r="B67" s="192"/>
      <c r="C67" s="130" t="s">
        <v>577</v>
      </c>
      <c r="D67" s="130" t="s">
        <v>578</v>
      </c>
      <c r="E67" s="130" t="s">
        <v>579</v>
      </c>
      <c r="F67" s="130" t="s">
        <v>580</v>
      </c>
      <c r="G67" s="487"/>
      <c r="H67" s="487"/>
      <c r="I67" s="487"/>
      <c r="J67" s="487"/>
      <c r="K67" s="489"/>
    </row>
    <row r="68" spans="2:11" ht="24.75" customHeight="1" x14ac:dyDescent="0.35">
      <c r="B68" s="192"/>
      <c r="C68" s="150" t="s">
        <v>581</v>
      </c>
      <c r="D68" s="150" t="s">
        <v>414</v>
      </c>
      <c r="E68" s="130" t="s">
        <v>566</v>
      </c>
      <c r="F68" s="130" t="s">
        <v>565</v>
      </c>
      <c r="G68" s="487"/>
      <c r="H68" s="487"/>
      <c r="I68" s="487"/>
      <c r="J68" s="487"/>
      <c r="K68" s="489"/>
    </row>
    <row r="69" spans="2:11" ht="24.75" customHeight="1" x14ac:dyDescent="0.35">
      <c r="B69" s="192"/>
      <c r="C69" s="130" t="s">
        <v>517</v>
      </c>
      <c r="D69" s="157" t="s">
        <v>582</v>
      </c>
      <c r="E69" s="130" t="s">
        <v>25</v>
      </c>
      <c r="F69" s="130" t="s">
        <v>25</v>
      </c>
      <c r="G69" s="487"/>
      <c r="H69" s="487"/>
      <c r="I69" s="487"/>
      <c r="J69" s="487"/>
      <c r="K69" s="489"/>
    </row>
    <row r="70" spans="2:11" ht="24.75" customHeight="1" x14ac:dyDescent="0.35">
      <c r="B70" s="192"/>
      <c r="C70" s="130" t="s">
        <v>569</v>
      </c>
      <c r="D70" s="262" t="s">
        <v>583</v>
      </c>
      <c r="E70" s="262"/>
      <c r="F70" s="262"/>
      <c r="G70" s="487"/>
      <c r="H70" s="487"/>
      <c r="I70" s="487"/>
      <c r="J70" s="487"/>
      <c r="K70" s="489"/>
    </row>
    <row r="71" spans="2:11" ht="26.25" customHeight="1" x14ac:dyDescent="0.35">
      <c r="B71" s="193" t="s">
        <v>584</v>
      </c>
      <c r="C71" s="130" t="s">
        <v>556</v>
      </c>
      <c r="D71" s="130" t="s">
        <v>410</v>
      </c>
      <c r="E71" s="130" t="s">
        <v>585</v>
      </c>
      <c r="F71" s="130" t="s">
        <v>586</v>
      </c>
      <c r="G71" s="470" t="s">
        <v>587</v>
      </c>
      <c r="H71" s="471"/>
      <c r="I71" s="471"/>
      <c r="J71" s="471"/>
      <c r="K71" s="262"/>
    </row>
    <row r="72" spans="2:11" ht="26.25" customHeight="1" x14ac:dyDescent="0.35">
      <c r="B72" s="193"/>
      <c r="C72" s="130" t="s">
        <v>561</v>
      </c>
      <c r="D72" s="130" t="s">
        <v>410</v>
      </c>
      <c r="E72" s="130" t="s">
        <v>588</v>
      </c>
      <c r="F72" s="130" t="s">
        <v>589</v>
      </c>
      <c r="G72" s="471"/>
      <c r="H72" s="471"/>
      <c r="I72" s="471"/>
      <c r="J72" s="471"/>
      <c r="K72" s="262"/>
    </row>
    <row r="73" spans="2:11" ht="26.25" customHeight="1" x14ac:dyDescent="0.35">
      <c r="B73" s="193"/>
      <c r="C73" s="150" t="s">
        <v>564</v>
      </c>
      <c r="D73" s="150" t="s">
        <v>405</v>
      </c>
      <c r="E73" s="130" t="s">
        <v>590</v>
      </c>
      <c r="F73" s="130" t="s">
        <v>591</v>
      </c>
      <c r="G73" s="471"/>
      <c r="H73" s="471"/>
      <c r="I73" s="471"/>
      <c r="J73" s="471"/>
      <c r="K73" s="262"/>
    </row>
    <row r="74" spans="2:11" ht="26.25" customHeight="1" x14ac:dyDescent="0.35">
      <c r="B74" s="193"/>
      <c r="C74" s="130" t="s">
        <v>592</v>
      </c>
      <c r="D74" s="262" t="s">
        <v>583</v>
      </c>
      <c r="E74" s="262"/>
      <c r="F74" s="262"/>
      <c r="G74" s="471"/>
      <c r="H74" s="471"/>
      <c r="I74" s="471"/>
      <c r="J74" s="471"/>
      <c r="K74" s="262"/>
    </row>
    <row r="75" spans="2:11" ht="33" customHeight="1" x14ac:dyDescent="0.35">
      <c r="B75" s="192" t="s">
        <v>593</v>
      </c>
      <c r="C75" s="130" t="s">
        <v>571</v>
      </c>
      <c r="D75" s="130" t="s">
        <v>410</v>
      </c>
      <c r="E75" s="130" t="s">
        <v>588</v>
      </c>
      <c r="F75" s="130" t="s">
        <v>589</v>
      </c>
      <c r="G75" s="470" t="s">
        <v>594</v>
      </c>
      <c r="H75" s="471"/>
      <c r="I75" s="471"/>
      <c r="J75" s="471"/>
      <c r="K75" s="262"/>
    </row>
    <row r="76" spans="2:11" ht="33" customHeight="1" x14ac:dyDescent="0.35">
      <c r="B76" s="192"/>
      <c r="C76" s="150" t="s">
        <v>595</v>
      </c>
      <c r="D76" s="150" t="s">
        <v>410</v>
      </c>
      <c r="E76" s="130" t="s">
        <v>596</v>
      </c>
      <c r="F76" s="130" t="s">
        <v>597</v>
      </c>
      <c r="G76" s="471"/>
      <c r="H76" s="471"/>
      <c r="I76" s="471"/>
      <c r="J76" s="471"/>
      <c r="K76" s="262"/>
    </row>
    <row r="77" spans="2:11" ht="27" customHeight="1" x14ac:dyDescent="0.35">
      <c r="B77" s="192"/>
      <c r="C77" s="130" t="s">
        <v>598</v>
      </c>
      <c r="D77" s="130" t="s">
        <v>599</v>
      </c>
      <c r="E77" s="130" t="s">
        <v>600</v>
      </c>
      <c r="F77" s="130" t="s">
        <v>601</v>
      </c>
      <c r="G77" s="195" t="s">
        <v>602</v>
      </c>
      <c r="H77" s="195"/>
      <c r="I77" s="195"/>
      <c r="J77" s="195"/>
      <c r="K77" s="262"/>
    </row>
    <row r="78" spans="2:11" ht="27" customHeight="1" x14ac:dyDescent="0.35">
      <c r="B78" s="192"/>
      <c r="C78" s="130" t="s">
        <v>603</v>
      </c>
      <c r="D78" s="130" t="s">
        <v>410</v>
      </c>
      <c r="E78" s="130" t="s">
        <v>604</v>
      </c>
      <c r="F78" s="130" t="s">
        <v>591</v>
      </c>
      <c r="G78" s="195" t="s">
        <v>602</v>
      </c>
      <c r="H78" s="195"/>
      <c r="I78" s="195"/>
      <c r="J78" s="195"/>
      <c r="K78" s="262"/>
    </row>
    <row r="79" spans="2:11" ht="27" customHeight="1" x14ac:dyDescent="0.35">
      <c r="B79" s="192"/>
      <c r="C79" s="130" t="s">
        <v>592</v>
      </c>
      <c r="D79" s="262" t="s">
        <v>583</v>
      </c>
      <c r="E79" s="262"/>
      <c r="F79" s="262"/>
      <c r="G79" s="262"/>
      <c r="H79" s="262"/>
      <c r="I79" s="262"/>
      <c r="J79" s="262"/>
      <c r="K79" s="262"/>
    </row>
    <row r="80" spans="2:11" x14ac:dyDescent="0.35">
      <c r="B80" s="193" t="s">
        <v>605</v>
      </c>
      <c r="C80" s="262" t="s">
        <v>606</v>
      </c>
      <c r="D80" s="262"/>
      <c r="E80" s="262"/>
      <c r="F80" s="262"/>
      <c r="G80" s="196" t="s">
        <v>607</v>
      </c>
      <c r="H80" s="481"/>
      <c r="I80" s="481"/>
      <c r="J80" s="481"/>
      <c r="K80" s="262"/>
    </row>
    <row r="81" spans="2:11" x14ac:dyDescent="0.35">
      <c r="B81" s="193"/>
      <c r="C81" s="130" t="s">
        <v>571</v>
      </c>
      <c r="D81" s="130" t="s">
        <v>608</v>
      </c>
      <c r="E81" s="130" t="s">
        <v>609</v>
      </c>
      <c r="F81" s="130" t="s">
        <v>578</v>
      </c>
      <c r="G81" s="481"/>
      <c r="H81" s="481"/>
      <c r="I81" s="481"/>
      <c r="J81" s="481"/>
      <c r="K81" s="262"/>
    </row>
    <row r="82" spans="2:11" x14ac:dyDescent="0.35">
      <c r="B82" s="193"/>
      <c r="C82" s="130" t="s">
        <v>595</v>
      </c>
      <c r="D82" s="130" t="s">
        <v>557</v>
      </c>
      <c r="E82" s="130" t="s">
        <v>610</v>
      </c>
      <c r="F82" s="130" t="s">
        <v>611</v>
      </c>
      <c r="G82" s="481"/>
      <c r="H82" s="481"/>
      <c r="I82" s="481"/>
      <c r="J82" s="481"/>
      <c r="K82" s="262"/>
    </row>
    <row r="83" spans="2:11" x14ac:dyDescent="0.35">
      <c r="B83" s="193"/>
      <c r="C83" s="130" t="s">
        <v>598</v>
      </c>
      <c r="D83" s="130" t="s">
        <v>612</v>
      </c>
      <c r="E83" s="130" t="s">
        <v>613</v>
      </c>
      <c r="F83" s="130" t="s">
        <v>614</v>
      </c>
      <c r="G83" s="481"/>
      <c r="H83" s="481"/>
      <c r="I83" s="481"/>
      <c r="J83" s="481"/>
      <c r="K83" s="262"/>
    </row>
    <row r="84" spans="2:11" x14ac:dyDescent="0.35">
      <c r="B84" s="193"/>
      <c r="C84" s="130" t="s">
        <v>603</v>
      </c>
      <c r="D84" s="130" t="s">
        <v>557</v>
      </c>
      <c r="E84" s="130" t="s">
        <v>615</v>
      </c>
      <c r="F84" s="130" t="s">
        <v>616</v>
      </c>
      <c r="G84" s="481"/>
      <c r="H84" s="481"/>
      <c r="I84" s="481"/>
      <c r="J84" s="481"/>
      <c r="K84" s="14" t="s">
        <v>583</v>
      </c>
    </row>
    <row r="85" spans="2:11" x14ac:dyDescent="0.35">
      <c r="B85" s="193"/>
      <c r="C85" s="262" t="s">
        <v>617</v>
      </c>
      <c r="D85" s="262"/>
      <c r="E85" s="262"/>
      <c r="F85" s="262"/>
      <c r="G85" s="481"/>
      <c r="H85" s="481"/>
      <c r="I85" s="481"/>
      <c r="J85" s="481"/>
      <c r="K85" s="262"/>
    </row>
    <row r="86" spans="2:11" x14ac:dyDescent="0.35">
      <c r="B86" s="193"/>
      <c r="C86" s="130" t="s">
        <v>571</v>
      </c>
      <c r="D86" s="130" t="s">
        <v>618</v>
      </c>
      <c r="E86" s="130" t="s">
        <v>619</v>
      </c>
      <c r="F86" s="130" t="s">
        <v>620</v>
      </c>
      <c r="G86" s="481"/>
      <c r="H86" s="481"/>
      <c r="I86" s="481"/>
      <c r="J86" s="481"/>
      <c r="K86" s="262"/>
    </row>
    <row r="87" spans="2:11" x14ac:dyDescent="0.35">
      <c r="B87" s="193"/>
      <c r="C87" s="150" t="s">
        <v>595</v>
      </c>
      <c r="D87" s="150" t="s">
        <v>456</v>
      </c>
      <c r="E87" s="130" t="s">
        <v>621</v>
      </c>
      <c r="F87" s="130" t="s">
        <v>622</v>
      </c>
      <c r="G87" s="481"/>
      <c r="H87" s="481"/>
      <c r="I87" s="481"/>
      <c r="J87" s="481"/>
      <c r="K87" s="262"/>
    </row>
    <row r="88" spans="2:11" x14ac:dyDescent="0.35">
      <c r="B88" s="193"/>
      <c r="C88" s="130" t="s">
        <v>598</v>
      </c>
      <c r="D88" s="130" t="s">
        <v>562</v>
      </c>
      <c r="E88" s="130" t="s">
        <v>623</v>
      </c>
      <c r="F88" s="130" t="s">
        <v>428</v>
      </c>
      <c r="G88" s="481"/>
      <c r="H88" s="481"/>
      <c r="I88" s="481"/>
      <c r="J88" s="481"/>
      <c r="K88" s="262"/>
    </row>
    <row r="89" spans="2:11" x14ac:dyDescent="0.35">
      <c r="B89" s="193"/>
      <c r="C89" s="130" t="s">
        <v>603</v>
      </c>
      <c r="D89" s="130" t="s">
        <v>456</v>
      </c>
      <c r="E89" s="130" t="s">
        <v>624</v>
      </c>
      <c r="F89" s="130" t="s">
        <v>625</v>
      </c>
      <c r="G89" s="481"/>
      <c r="H89" s="481"/>
      <c r="I89" s="481"/>
      <c r="J89" s="481"/>
      <c r="K89" s="14" t="s">
        <v>583</v>
      </c>
    </row>
    <row r="90" spans="2:11" ht="90" customHeight="1" x14ac:dyDescent="0.35">
      <c r="B90" s="158" t="s">
        <v>626</v>
      </c>
      <c r="C90" s="134" t="s">
        <v>627</v>
      </c>
      <c r="D90" s="145" t="s">
        <v>628</v>
      </c>
      <c r="E90" s="145" t="s">
        <v>629</v>
      </c>
      <c r="F90" s="145" t="s">
        <v>630</v>
      </c>
      <c r="G90" s="470" t="s">
        <v>631</v>
      </c>
      <c r="H90" s="471"/>
      <c r="I90" s="471"/>
      <c r="J90" s="471"/>
      <c r="K90" s="159" t="s">
        <v>632</v>
      </c>
    </row>
    <row r="91" spans="2:11" s="186" customFormat="1" ht="99.75" customHeight="1" x14ac:dyDescent="0.35">
      <c r="B91" s="183" t="s">
        <v>633</v>
      </c>
      <c r="C91" s="184" t="s">
        <v>634</v>
      </c>
      <c r="D91" s="185" t="s">
        <v>635</v>
      </c>
      <c r="E91" s="185" t="s">
        <v>636</v>
      </c>
      <c r="F91" s="185" t="s">
        <v>637</v>
      </c>
      <c r="G91" s="482" t="s">
        <v>638</v>
      </c>
      <c r="H91" s="483"/>
      <c r="I91" s="483"/>
      <c r="J91" s="483"/>
      <c r="K91" s="185" t="s">
        <v>639</v>
      </c>
    </row>
    <row r="92" spans="2:11" ht="86.25" customHeight="1" x14ac:dyDescent="0.35">
      <c r="B92" s="158" t="s">
        <v>640</v>
      </c>
      <c r="C92" s="134" t="s">
        <v>627</v>
      </c>
      <c r="D92" s="197" t="s">
        <v>641</v>
      </c>
      <c r="E92" s="197"/>
      <c r="F92" s="197"/>
      <c r="G92" s="192" t="s">
        <v>642</v>
      </c>
      <c r="H92" s="193"/>
      <c r="I92" s="193"/>
      <c r="J92" s="193"/>
      <c r="K92" s="149" t="s">
        <v>643</v>
      </c>
    </row>
    <row r="93" spans="2:11" x14ac:dyDescent="0.35">
      <c r="B93" s="472" t="s">
        <v>644</v>
      </c>
      <c r="C93" s="130" t="s">
        <v>634</v>
      </c>
      <c r="D93" s="249"/>
      <c r="E93" s="250"/>
      <c r="F93" s="251"/>
      <c r="G93" s="196" t="s">
        <v>645</v>
      </c>
      <c r="H93" s="196"/>
      <c r="I93" s="196"/>
      <c r="J93" s="196"/>
      <c r="K93" s="481" t="s">
        <v>646</v>
      </c>
    </row>
    <row r="94" spans="2:11" x14ac:dyDescent="0.35">
      <c r="B94" s="480"/>
      <c r="C94" s="150" t="s">
        <v>647</v>
      </c>
      <c r="D94" s="150" t="s">
        <v>420</v>
      </c>
      <c r="E94" s="130" t="s">
        <v>648</v>
      </c>
      <c r="F94" s="130" t="s">
        <v>649</v>
      </c>
      <c r="G94" s="196"/>
      <c r="H94" s="196"/>
      <c r="I94" s="196"/>
      <c r="J94" s="196"/>
      <c r="K94" s="481"/>
    </row>
    <row r="95" spans="2:11" x14ac:dyDescent="0.35">
      <c r="B95" s="480"/>
      <c r="C95" s="150" t="s">
        <v>650</v>
      </c>
      <c r="D95" s="150" t="s">
        <v>422</v>
      </c>
      <c r="E95" s="130" t="s">
        <v>651</v>
      </c>
      <c r="F95" s="130" t="s">
        <v>578</v>
      </c>
      <c r="G95" s="196"/>
      <c r="H95" s="196"/>
      <c r="I95" s="196"/>
      <c r="J95" s="196"/>
      <c r="K95" s="481"/>
    </row>
    <row r="96" spans="2:11" x14ac:dyDescent="0.35">
      <c r="B96" s="480"/>
      <c r="C96" s="130" t="s">
        <v>603</v>
      </c>
      <c r="D96" s="262" t="s">
        <v>583</v>
      </c>
      <c r="E96" s="262"/>
      <c r="F96" s="262"/>
      <c r="G96" s="262"/>
      <c r="H96" s="262"/>
      <c r="I96" s="262"/>
      <c r="J96" s="262"/>
      <c r="K96" s="14"/>
    </row>
    <row r="97" spans="2:11" x14ac:dyDescent="0.35">
      <c r="B97" s="473"/>
      <c r="C97" s="130" t="s">
        <v>592</v>
      </c>
      <c r="D97" s="262" t="s">
        <v>652</v>
      </c>
      <c r="E97" s="262"/>
      <c r="F97" s="262"/>
      <c r="G97" s="195" t="s">
        <v>602</v>
      </c>
      <c r="H97" s="195"/>
      <c r="I97" s="195"/>
      <c r="J97" s="195"/>
      <c r="K97" s="14"/>
    </row>
    <row r="98" spans="2:11" ht="115.5" customHeight="1" x14ac:dyDescent="0.35">
      <c r="B98" s="14" t="s">
        <v>653</v>
      </c>
      <c r="C98" s="130" t="s">
        <v>634</v>
      </c>
      <c r="D98" s="130" t="s">
        <v>495</v>
      </c>
      <c r="E98" s="130"/>
      <c r="F98" s="130" t="s">
        <v>188</v>
      </c>
      <c r="G98" s="470" t="s">
        <v>654</v>
      </c>
      <c r="H98" s="471"/>
      <c r="I98" s="471"/>
      <c r="J98" s="471"/>
      <c r="K98" s="160" t="s">
        <v>655</v>
      </c>
    </row>
    <row r="99" spans="2:11" ht="51" customHeight="1" x14ac:dyDescent="0.35">
      <c r="B99" s="472" t="s">
        <v>656</v>
      </c>
      <c r="C99" s="130" t="s">
        <v>634</v>
      </c>
      <c r="D99" s="249" t="s">
        <v>657</v>
      </c>
      <c r="E99" s="250"/>
      <c r="F99" s="251"/>
      <c r="G99" s="474" t="s">
        <v>658</v>
      </c>
      <c r="H99" s="475"/>
      <c r="I99" s="475"/>
      <c r="J99" s="476"/>
      <c r="K99" s="145" t="s">
        <v>659</v>
      </c>
    </row>
    <row r="100" spans="2:11" x14ac:dyDescent="0.35">
      <c r="B100" s="473"/>
      <c r="C100" s="130" t="s">
        <v>569</v>
      </c>
      <c r="D100" s="262" t="s">
        <v>583</v>
      </c>
      <c r="E100" s="262"/>
      <c r="F100" s="262"/>
      <c r="G100" s="249"/>
      <c r="H100" s="250"/>
      <c r="I100" s="250"/>
      <c r="J100" s="251"/>
      <c r="K100" s="14"/>
    </row>
    <row r="101" spans="2:11" ht="67.5" customHeight="1" x14ac:dyDescent="0.35">
      <c r="B101" s="14" t="s">
        <v>660</v>
      </c>
      <c r="C101" s="130" t="s">
        <v>661</v>
      </c>
      <c r="D101" s="262" t="s">
        <v>662</v>
      </c>
      <c r="E101" s="262"/>
      <c r="F101" s="262"/>
      <c r="G101" s="477" t="s">
        <v>663</v>
      </c>
      <c r="H101" s="478"/>
      <c r="I101" s="478"/>
      <c r="J101" s="479"/>
      <c r="K101" s="160" t="s">
        <v>664</v>
      </c>
    </row>
    <row r="102" spans="2:11" x14ac:dyDescent="0.35">
      <c r="B102" s="14" t="s">
        <v>665</v>
      </c>
      <c r="C102" s="130" t="s">
        <v>661</v>
      </c>
      <c r="D102" s="262" t="s">
        <v>666</v>
      </c>
      <c r="E102" s="262"/>
      <c r="F102" s="262"/>
      <c r="G102" s="252" t="s">
        <v>667</v>
      </c>
      <c r="H102" s="253"/>
      <c r="I102" s="253"/>
      <c r="J102" s="254"/>
      <c r="K102" s="14" t="s">
        <v>668</v>
      </c>
    </row>
    <row r="104" spans="2:11" ht="107.25" customHeight="1" x14ac:dyDescent="0.35">
      <c r="B104" s="469" t="s">
        <v>669</v>
      </c>
      <c r="C104" s="469"/>
      <c r="D104" s="469"/>
      <c r="E104" s="469"/>
      <c r="F104" s="469"/>
      <c r="G104" s="469"/>
      <c r="H104" s="469"/>
      <c r="I104" s="469"/>
      <c r="J104" s="469"/>
      <c r="K104" s="469"/>
    </row>
    <row r="106" spans="2:11" x14ac:dyDescent="0.35">
      <c r="B106" s="39" t="s">
        <v>670</v>
      </c>
    </row>
    <row r="107" spans="2:11" x14ac:dyDescent="0.35">
      <c r="B107" s="130" t="s">
        <v>671</v>
      </c>
      <c r="C107" s="249" t="s">
        <v>672</v>
      </c>
      <c r="D107" s="250"/>
      <c r="E107" s="251"/>
      <c r="F107" s="468" t="s">
        <v>673</v>
      </c>
      <c r="G107" s="468"/>
    </row>
    <row r="108" spans="2:11" x14ac:dyDescent="0.35">
      <c r="B108" s="262" t="s">
        <v>674</v>
      </c>
      <c r="C108" s="249" t="s">
        <v>675</v>
      </c>
      <c r="D108" s="250"/>
      <c r="E108" s="251"/>
      <c r="F108" s="196" t="s">
        <v>676</v>
      </c>
      <c r="G108" s="196"/>
    </row>
    <row r="109" spans="2:11" x14ac:dyDescent="0.35">
      <c r="B109" s="262"/>
      <c r="C109" s="249" t="s">
        <v>677</v>
      </c>
      <c r="D109" s="250"/>
      <c r="E109" s="251"/>
      <c r="F109" s="196"/>
      <c r="G109" s="196"/>
    </row>
    <row r="110" spans="2:11" x14ac:dyDescent="0.35">
      <c r="B110" s="262"/>
      <c r="C110" s="249" t="s">
        <v>678</v>
      </c>
      <c r="D110" s="250"/>
      <c r="E110" s="251"/>
      <c r="F110" s="196"/>
      <c r="G110" s="196"/>
    </row>
    <row r="111" spans="2:11" x14ac:dyDescent="0.35">
      <c r="B111" s="262"/>
      <c r="C111" s="249" t="s">
        <v>679</v>
      </c>
      <c r="D111" s="250"/>
      <c r="E111" s="251"/>
      <c r="F111" s="196"/>
      <c r="G111" s="196"/>
    </row>
    <row r="112" spans="2:11" x14ac:dyDescent="0.35">
      <c r="B112" s="262" t="s">
        <v>680</v>
      </c>
      <c r="C112" s="249" t="s">
        <v>681</v>
      </c>
      <c r="D112" s="250"/>
      <c r="E112" s="251"/>
      <c r="F112" s="196" t="s">
        <v>682</v>
      </c>
      <c r="G112" s="196"/>
    </row>
    <row r="113" spans="2:7" x14ac:dyDescent="0.35">
      <c r="B113" s="262"/>
      <c r="C113" s="249" t="s">
        <v>683</v>
      </c>
      <c r="D113" s="250"/>
      <c r="E113" s="251"/>
      <c r="F113" s="196"/>
      <c r="G113" s="196"/>
    </row>
    <row r="114" spans="2:7" x14ac:dyDescent="0.35">
      <c r="B114" s="262"/>
      <c r="C114" s="249" t="s">
        <v>684</v>
      </c>
      <c r="D114" s="250"/>
      <c r="E114" s="251"/>
      <c r="F114" s="196"/>
      <c r="G114" s="196"/>
    </row>
    <row r="115" spans="2:7" x14ac:dyDescent="0.35">
      <c r="B115" s="262"/>
      <c r="C115" s="249" t="s">
        <v>685</v>
      </c>
      <c r="D115" s="250"/>
      <c r="E115" s="251"/>
      <c r="F115" s="196"/>
      <c r="G115" s="196"/>
    </row>
    <row r="116" spans="2:7" x14ac:dyDescent="0.35">
      <c r="B116" s="262"/>
      <c r="C116" s="249" t="s">
        <v>686</v>
      </c>
      <c r="D116" s="250"/>
      <c r="E116" s="251"/>
      <c r="F116" s="196"/>
      <c r="G116" s="196"/>
    </row>
    <row r="117" spans="2:7" x14ac:dyDescent="0.35">
      <c r="B117" s="262"/>
      <c r="C117" s="249" t="s">
        <v>687</v>
      </c>
      <c r="D117" s="250"/>
      <c r="E117" s="251"/>
      <c r="F117" s="468" t="s">
        <v>688</v>
      </c>
      <c r="G117" s="468"/>
    </row>
    <row r="118" spans="2:7" x14ac:dyDescent="0.35">
      <c r="B118" s="262"/>
      <c r="C118" s="249" t="s">
        <v>689</v>
      </c>
      <c r="D118" s="250"/>
      <c r="E118" s="251"/>
      <c r="F118" s="468"/>
      <c r="G118" s="468"/>
    </row>
    <row r="119" spans="2:7" ht="36.75" customHeight="1" x14ac:dyDescent="0.35">
      <c r="B119" s="130" t="s">
        <v>444</v>
      </c>
      <c r="C119" s="249" t="s">
        <v>690</v>
      </c>
      <c r="D119" s="250"/>
      <c r="E119" s="251"/>
      <c r="F119" s="194" t="s">
        <v>691</v>
      </c>
      <c r="G119" s="194"/>
    </row>
    <row r="120" spans="2:7" ht="30.75" customHeight="1" x14ac:dyDescent="0.35">
      <c r="B120" s="449" t="s">
        <v>493</v>
      </c>
      <c r="C120" s="461" t="s">
        <v>692</v>
      </c>
      <c r="D120" s="462"/>
      <c r="E120" s="463"/>
      <c r="F120" s="452" t="s">
        <v>693</v>
      </c>
      <c r="G120" s="453"/>
    </row>
    <row r="121" spans="2:7" x14ac:dyDescent="0.35">
      <c r="B121" s="450"/>
      <c r="C121" s="464"/>
      <c r="D121" s="310"/>
      <c r="E121" s="311"/>
      <c r="F121" s="454" t="s">
        <v>694</v>
      </c>
      <c r="G121" s="455"/>
    </row>
    <row r="122" spans="2:7" x14ac:dyDescent="0.35">
      <c r="B122" s="450"/>
      <c r="C122" s="464"/>
      <c r="D122" s="310"/>
      <c r="E122" s="311"/>
      <c r="F122" s="454" t="s">
        <v>695</v>
      </c>
      <c r="G122" s="455"/>
    </row>
    <row r="123" spans="2:7" x14ac:dyDescent="0.35">
      <c r="B123" s="451"/>
      <c r="C123" s="465"/>
      <c r="D123" s="466"/>
      <c r="E123" s="467"/>
      <c r="F123" s="456" t="s">
        <v>696</v>
      </c>
      <c r="G123" s="457"/>
    </row>
    <row r="124" spans="2:7" x14ac:dyDescent="0.35">
      <c r="B124" s="458" t="s">
        <v>697</v>
      </c>
      <c r="C124" s="459"/>
      <c r="D124" s="459"/>
      <c r="E124" s="459"/>
      <c r="F124" s="459"/>
      <c r="G124" s="460"/>
    </row>
    <row r="125" spans="2:7" x14ac:dyDescent="0.35">
      <c r="B125" s="444" t="s">
        <v>698</v>
      </c>
      <c r="C125" s="323"/>
      <c r="D125" s="323"/>
      <c r="E125" s="323"/>
      <c r="F125" s="323"/>
      <c r="G125" s="445"/>
    </row>
    <row r="126" spans="2:7" x14ac:dyDescent="0.35">
      <c r="B126" s="444" t="s">
        <v>699</v>
      </c>
      <c r="C126" s="323"/>
      <c r="D126" s="323"/>
      <c r="E126" s="323"/>
      <c r="F126" s="323"/>
      <c r="G126" s="445"/>
    </row>
    <row r="127" spans="2:7" x14ac:dyDescent="0.35">
      <c r="B127" s="444" t="s">
        <v>700</v>
      </c>
      <c r="C127" s="323"/>
      <c r="D127" s="323"/>
      <c r="E127" s="323"/>
      <c r="F127" s="323"/>
      <c r="G127" s="445"/>
    </row>
    <row r="128" spans="2:7" x14ac:dyDescent="0.35">
      <c r="B128" s="446" t="s">
        <v>701</v>
      </c>
      <c r="C128" s="447"/>
      <c r="D128" s="447"/>
      <c r="E128" s="447"/>
      <c r="F128" s="447"/>
      <c r="G128" s="448"/>
    </row>
  </sheetData>
  <mergeCells count="96">
    <mergeCell ref="D20:F20"/>
    <mergeCell ref="D28:F28"/>
    <mergeCell ref="D29:F29"/>
    <mergeCell ref="D31:F31"/>
    <mergeCell ref="B25:B26"/>
    <mergeCell ref="C25:C26"/>
    <mergeCell ref="C40:J40"/>
    <mergeCell ref="C43:J43"/>
    <mergeCell ref="C44:J44"/>
    <mergeCell ref="C45:J45"/>
    <mergeCell ref="D57:F57"/>
    <mergeCell ref="G57:J57"/>
    <mergeCell ref="G59:J59"/>
    <mergeCell ref="G58:J58"/>
    <mergeCell ref="G60:J65"/>
    <mergeCell ref="D63:F63"/>
    <mergeCell ref="D64:F64"/>
    <mergeCell ref="D65:F65"/>
    <mergeCell ref="C63:C64"/>
    <mergeCell ref="K60:K65"/>
    <mergeCell ref="B60:B65"/>
    <mergeCell ref="B66:B70"/>
    <mergeCell ref="D70:F70"/>
    <mergeCell ref="G66:J70"/>
    <mergeCell ref="K66:K70"/>
    <mergeCell ref="B71:B74"/>
    <mergeCell ref="B75:B79"/>
    <mergeCell ref="D74:F74"/>
    <mergeCell ref="D79:F79"/>
    <mergeCell ref="C80:F80"/>
    <mergeCell ref="B80:B89"/>
    <mergeCell ref="D92:F92"/>
    <mergeCell ref="G71:J74"/>
    <mergeCell ref="K71:K74"/>
    <mergeCell ref="K75:K79"/>
    <mergeCell ref="G75:J76"/>
    <mergeCell ref="G77:J77"/>
    <mergeCell ref="G78:J78"/>
    <mergeCell ref="G79:J79"/>
    <mergeCell ref="C85:F85"/>
    <mergeCell ref="G90:J90"/>
    <mergeCell ref="G91:J91"/>
    <mergeCell ref="G92:J92"/>
    <mergeCell ref="G93:J95"/>
    <mergeCell ref="G80:J89"/>
    <mergeCell ref="K93:K95"/>
    <mergeCell ref="G96:J96"/>
    <mergeCell ref="G97:J97"/>
    <mergeCell ref="K80:K83"/>
    <mergeCell ref="K85:K88"/>
    <mergeCell ref="B93:B97"/>
    <mergeCell ref="D93:F93"/>
    <mergeCell ref="D96:F96"/>
    <mergeCell ref="D97:F97"/>
    <mergeCell ref="D101:F101"/>
    <mergeCell ref="D102:F102"/>
    <mergeCell ref="G98:J98"/>
    <mergeCell ref="B99:B100"/>
    <mergeCell ref="D99:F99"/>
    <mergeCell ref="G99:J99"/>
    <mergeCell ref="G100:J100"/>
    <mergeCell ref="G101:J101"/>
    <mergeCell ref="G102:J102"/>
    <mergeCell ref="D100:F100"/>
    <mergeCell ref="B104:K104"/>
    <mergeCell ref="B108:B111"/>
    <mergeCell ref="B112:B118"/>
    <mergeCell ref="C108:E108"/>
    <mergeCell ref="C107:E107"/>
    <mergeCell ref="F107:G107"/>
    <mergeCell ref="F108:G111"/>
    <mergeCell ref="F112:G116"/>
    <mergeCell ref="C110:E110"/>
    <mergeCell ref="C109:E109"/>
    <mergeCell ref="C111:E111"/>
    <mergeCell ref="C112:E112"/>
    <mergeCell ref="C113:E113"/>
    <mergeCell ref="C114:E114"/>
    <mergeCell ref="C115:E115"/>
    <mergeCell ref="C116:E116"/>
    <mergeCell ref="C117:E117"/>
    <mergeCell ref="C118:E118"/>
    <mergeCell ref="C119:E119"/>
    <mergeCell ref="F117:G118"/>
    <mergeCell ref="F119:G119"/>
    <mergeCell ref="B125:G125"/>
    <mergeCell ref="B126:G126"/>
    <mergeCell ref="B127:G127"/>
    <mergeCell ref="B128:G128"/>
    <mergeCell ref="B120:B123"/>
    <mergeCell ref="F120:G120"/>
    <mergeCell ref="F121:G121"/>
    <mergeCell ref="F122:G122"/>
    <mergeCell ref="F123:G123"/>
    <mergeCell ref="B124:G124"/>
    <mergeCell ref="C120:E123"/>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B1:L23"/>
  <sheetViews>
    <sheetView workbookViewId="0">
      <selection activeCell="L24" sqref="L24"/>
    </sheetView>
  </sheetViews>
  <sheetFormatPr defaultColWidth="8.7265625" defaultRowHeight="14.5" x14ac:dyDescent="0.35"/>
  <cols>
    <col min="2" max="2" width="22" bestFit="1" customWidth="1"/>
    <col min="3" max="3" width="6.453125" customWidth="1"/>
    <col min="4" max="4" width="11.1796875" bestFit="1" customWidth="1"/>
    <col min="8" max="8" width="15.26953125" bestFit="1" customWidth="1"/>
    <col min="12" max="12" width="12.453125" bestFit="1" customWidth="1"/>
  </cols>
  <sheetData>
    <row r="1" spans="2:11" x14ac:dyDescent="0.35">
      <c r="B1" t="s">
        <v>702</v>
      </c>
    </row>
    <row r="3" spans="2:11" x14ac:dyDescent="0.35">
      <c r="B3" s="411" t="s">
        <v>703</v>
      </c>
      <c r="C3" s="141"/>
      <c r="D3" s="427" t="s">
        <v>704</v>
      </c>
    </row>
    <row r="4" spans="2:11" ht="15" customHeight="1" x14ac:dyDescent="0.35">
      <c r="B4" s="439"/>
      <c r="C4" s="44"/>
      <c r="D4" s="429"/>
    </row>
    <row r="5" spans="2:11" x14ac:dyDescent="0.35">
      <c r="B5" s="412"/>
      <c r="C5" s="137"/>
      <c r="D5" s="7"/>
    </row>
    <row r="6" spans="2:11" x14ac:dyDescent="0.35">
      <c r="B6" s="42" t="s">
        <v>243</v>
      </c>
      <c r="C6" s="42">
        <v>974</v>
      </c>
      <c r="D6" s="47">
        <v>0.06</v>
      </c>
    </row>
    <row r="7" spans="2:11" x14ac:dyDescent="0.35">
      <c r="B7" s="42" t="s">
        <v>705</v>
      </c>
      <c r="C7" s="42" t="s">
        <v>706</v>
      </c>
      <c r="D7" s="46">
        <v>0.2</v>
      </c>
    </row>
    <row r="8" spans="2:11" x14ac:dyDescent="0.35">
      <c r="B8" s="42" t="s">
        <v>705</v>
      </c>
      <c r="C8" s="42" t="s">
        <v>707</v>
      </c>
      <c r="D8" s="51">
        <v>3.6</v>
      </c>
    </row>
    <row r="9" spans="2:11" x14ac:dyDescent="0.35">
      <c r="B9" s="42" t="s">
        <v>705</v>
      </c>
      <c r="C9" s="42" t="s">
        <v>708</v>
      </c>
      <c r="D9" s="10">
        <v>4</v>
      </c>
    </row>
    <row r="10" spans="2:11" x14ac:dyDescent="0.35">
      <c r="B10" s="42" t="s">
        <v>256</v>
      </c>
      <c r="C10" s="42">
        <v>1816</v>
      </c>
      <c r="D10" s="46">
        <v>42</v>
      </c>
    </row>
    <row r="11" spans="2:11" ht="15" thickBot="1" x14ac:dyDescent="0.4">
      <c r="B11" s="42" t="s">
        <v>265</v>
      </c>
      <c r="C11" s="42">
        <v>1533</v>
      </c>
      <c r="D11" s="46">
        <v>200</v>
      </c>
    </row>
    <row r="12" spans="2:11" x14ac:dyDescent="0.35">
      <c r="B12" s="42" t="s">
        <v>274</v>
      </c>
      <c r="C12" s="42"/>
      <c r="D12" s="10">
        <v>1</v>
      </c>
      <c r="H12" s="171"/>
      <c r="I12" s="172" t="s">
        <v>709</v>
      </c>
      <c r="J12" s="172" t="s">
        <v>710</v>
      </c>
      <c r="K12" s="173" t="s">
        <v>711</v>
      </c>
    </row>
    <row r="13" spans="2:11" x14ac:dyDescent="0.35">
      <c r="B13" s="42" t="s">
        <v>712</v>
      </c>
      <c r="C13" s="42"/>
      <c r="D13" s="10" t="s">
        <v>713</v>
      </c>
      <c r="H13" s="174" t="s">
        <v>714</v>
      </c>
      <c r="I13" s="14">
        <v>63</v>
      </c>
      <c r="J13" s="14">
        <f>63*1</f>
        <v>63</v>
      </c>
      <c r="K13" s="175">
        <f>J13*32</f>
        <v>2016</v>
      </c>
    </row>
    <row r="14" spans="2:11" x14ac:dyDescent="0.35">
      <c r="B14" s="42" t="s">
        <v>35</v>
      </c>
      <c r="C14" s="42"/>
      <c r="D14" s="51" t="s">
        <v>25</v>
      </c>
      <c r="H14" s="174" t="s">
        <v>715</v>
      </c>
      <c r="I14" s="14">
        <v>63</v>
      </c>
      <c r="J14" s="14">
        <f>63*0.5</f>
        <v>31.5</v>
      </c>
      <c r="K14" s="175">
        <f>J14*32</f>
        <v>1008</v>
      </c>
    </row>
    <row r="15" spans="2:11" x14ac:dyDescent="0.35">
      <c r="B15" s="12" t="s">
        <v>39</v>
      </c>
      <c r="C15" s="12"/>
      <c r="D15" s="13">
        <v>0.96</v>
      </c>
      <c r="H15" s="174" t="s">
        <v>716</v>
      </c>
      <c r="I15" s="14">
        <v>24</v>
      </c>
      <c r="J15" s="14">
        <f>24*1</f>
        <v>24</v>
      </c>
      <c r="K15" s="175">
        <f>J15*32</f>
        <v>768</v>
      </c>
    </row>
    <row r="16" spans="2:11" x14ac:dyDescent="0.35">
      <c r="B16" s="382" t="s">
        <v>200</v>
      </c>
      <c r="C16" s="43">
        <v>20</v>
      </c>
      <c r="D16" s="43">
        <v>150</v>
      </c>
      <c r="H16" s="174" t="s">
        <v>717</v>
      </c>
      <c r="I16" s="14">
        <v>24</v>
      </c>
      <c r="J16" s="14">
        <f>24*0.5</f>
        <v>12</v>
      </c>
      <c r="K16" s="175">
        <f>J16*32</f>
        <v>384</v>
      </c>
    </row>
    <row r="17" spans="2:12" ht="15" thickBot="1" x14ac:dyDescent="0.4">
      <c r="B17" s="383"/>
      <c r="C17" s="43">
        <v>40</v>
      </c>
      <c r="D17" s="43">
        <v>50</v>
      </c>
      <c r="H17" s="174" t="s">
        <v>718</v>
      </c>
      <c r="I17" s="14"/>
      <c r="J17" s="14"/>
      <c r="K17" s="175">
        <v>3600</v>
      </c>
    </row>
    <row r="18" spans="2:12" ht="15" thickBot="1" x14ac:dyDescent="0.4">
      <c r="B18" s="384"/>
      <c r="C18" s="43">
        <v>100</v>
      </c>
      <c r="D18" s="43">
        <v>15</v>
      </c>
      <c r="H18" s="494" t="s">
        <v>719</v>
      </c>
      <c r="I18" s="495"/>
      <c r="J18" s="496"/>
      <c r="K18" s="176">
        <f>SUM(K13:K17)</f>
        <v>7776</v>
      </c>
      <c r="L18" s="177">
        <f>K18*3.35</f>
        <v>26049.600000000002</v>
      </c>
    </row>
    <row r="19" spans="2:12" x14ac:dyDescent="0.35">
      <c r="B19" s="6" t="s">
        <v>720</v>
      </c>
      <c r="C19" s="45"/>
      <c r="D19" s="144"/>
      <c r="E19" t="s">
        <v>721</v>
      </c>
    </row>
    <row r="21" spans="2:12" x14ac:dyDescent="0.35">
      <c r="B21" s="41" t="s">
        <v>722</v>
      </c>
      <c r="C21" s="41"/>
    </row>
    <row r="22" spans="2:12" x14ac:dyDescent="0.35">
      <c r="B22" s="41" t="s">
        <v>723</v>
      </c>
      <c r="C22" s="41"/>
      <c r="D22" t="s">
        <v>724</v>
      </c>
    </row>
    <row r="23" spans="2:12" x14ac:dyDescent="0.35">
      <c r="B23" s="41"/>
      <c r="C23" s="41"/>
    </row>
  </sheetData>
  <mergeCells count="4">
    <mergeCell ref="B16:B18"/>
    <mergeCell ref="B3:B5"/>
    <mergeCell ref="D3:D4"/>
    <mergeCell ref="H18:J18"/>
  </mergeCells>
  <pageMargins left="0.7" right="0.7" top="0.75" bottom="0.75" header="0.3" footer="0.3"/>
  <pageSetup paperSize="9" orientation="portrait" r:id="rId1"/>
</worksheet>
</file>

<file path=docMetadata/LabelInfo.xml><?xml version="1.0" encoding="utf-8"?>
<clbl:labelList xmlns:clbl="http://schemas.microsoft.com/office/2020/mipLabelMetadata">
  <clbl:label id="{e9afaac5-d0c3-4a61-8b53-ebb0bb957ebc}" enabled="1" method="Privileged" siteId="{7831e6d9-dc6c-4cd1-9ec6-1dc2b413319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ACEITE</vt:lpstr>
      <vt:lpstr>SILICONA</vt:lpstr>
      <vt:lpstr>MIDEL</vt:lpstr>
      <vt:lpstr>FR3-VEGETAL</vt:lpstr>
      <vt:lpstr>INTERRUPTORES</vt:lpstr>
      <vt:lpstr>IEC60422</vt:lpstr>
      <vt:lpstr>OTRO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Ramos</dc:creator>
  <cp:keywords/>
  <dc:description/>
  <cp:lastModifiedBy>JESSICA RAMOS</cp:lastModifiedBy>
  <cp:revision/>
  <dcterms:created xsi:type="dcterms:W3CDTF">2015-01-06T16:15:09Z</dcterms:created>
  <dcterms:modified xsi:type="dcterms:W3CDTF">2023-06-16T21:22:01Z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eaderFooterVisibility">
    <vt:lpwstr>True</vt:lpwstr>
  </property>
  <property fmtid="{D5CDD505-2E9C-101B-9397-08002B2CF9AE}" pid="3" name="HeaderLeftText">
    <vt:lpwstr>&lt;zHeaderLeft/&gt;</vt:lpwstr>
  </property>
  <property fmtid="{D5CDD505-2E9C-101B-9397-08002B2CF9AE}" pid="4" name="HeaderCenterText">
    <vt:lpwstr>&lt;zHeaderCenter/&gt;</vt:lpwstr>
  </property>
  <property fmtid="{D5CDD505-2E9C-101B-9397-08002B2CF9AE}" pid="5" name="FooterLeftText">
    <vt:lpwstr>&lt;zFooterLeft/&gt;</vt:lpwstr>
  </property>
  <property fmtid="{D5CDD505-2E9C-101B-9397-08002B2CF9AE}" pid="6" name="FooterCenterText">
    <vt:lpwstr>&lt;zFooterCenter/&gt;</vt:lpwstr>
  </property>
  <property fmtid="{D5CDD505-2E9C-101B-9397-08002B2CF9AE}" pid="7" name="Binding_Root_Collection_0">
    <vt:lpwstr>{"zHeaderLeft":{"SkabelonDesign":{"type":"Text","binding":"zHeaderLeft"}},"zHeaderCenter":{"SkabelonDesign":{"type":"Text","binding":"zHeaderCenter"}},"zFooterLeft":{"SkabelonDesign":{"type":"Text","binding":"zFooterLeft"}},"zFooterCenter":{"SkabelonDesign":{"type":"Text","binding":"zFooterCenter"}}}</vt:lpwstr>
  </property>
</Properties>
</file>