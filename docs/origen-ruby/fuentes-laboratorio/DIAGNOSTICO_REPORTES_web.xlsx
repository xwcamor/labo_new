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EITE" sheetId="1" r:id="rId4"/>
    <sheet state="visible" name="SILICONA" sheetId="2" r:id="rId5"/>
    <sheet state="visible" name="MIDEL" sheetId="3" r:id="rId6"/>
    <sheet state="visible" name="FR3-VEGETAL" sheetId="4" r:id="rId7"/>
    <sheet state="visible" name="INTERRUPTORES" sheetId="5" r:id="rId8"/>
    <sheet state="visible" name="IEC60422" sheetId="6" r:id="rId9"/>
    <sheet state="visible" name="OTRO" sheetId="7" r:id="rId10"/>
  </sheets>
  <definedNames/>
  <calcPr/>
</workbook>
</file>

<file path=xl/sharedStrings.xml><?xml version="1.0" encoding="utf-8"?>
<sst xmlns="http://schemas.openxmlformats.org/spreadsheetml/2006/main" count="1293" uniqueCount="743">
  <si>
    <t>LABORATORIO</t>
  </si>
  <si>
    <t>Se recibió muestra. Según procedimiento P-PG-TR-LA-18-20.</t>
  </si>
  <si>
    <t>VALORES DE ORIENTACION NORMA: IEEE STD C57.106-2015</t>
  </si>
  <si>
    <t>CLIENTE INT. O EXT.</t>
  </si>
  <si>
    <t>Se recepcionó muestra de aceite aislante en envases de vidrio.</t>
  </si>
  <si>
    <t>MODIFICACIONES</t>
  </si>
  <si>
    <t>Este informe reemplaza al 19-xxx . 
Motivo: …………….</t>
  </si>
  <si>
    <t>ANALISIS</t>
  </si>
  <si>
    <t>NORMA ASTM</t>
  </si>
  <si>
    <t>ACEITE  NUEVO T1</t>
  </si>
  <si>
    <t>ACEITE NUEVO EN EL TRAFO ANTES DE ENRGIZAR T2</t>
  </si>
  <si>
    <t>ACEITE EN SERVICIO T3</t>
  </si>
  <si>
    <t>ACEITE REACONDICIONADO O REGENERADO T4</t>
  </si>
  <si>
    <r>
      <rPr>
        <rFont val="Calibri"/>
        <color theme="1"/>
        <sz val="10.0"/>
      </rPr>
      <t xml:space="preserve">FQ  TRANSFORM.        </t>
    </r>
    <r>
      <rPr>
        <rFont val="Calibri"/>
        <color theme="1"/>
        <sz val="10.0"/>
      </rPr>
      <t>≥ 1 MVA</t>
    </r>
  </si>
  <si>
    <t>CLASE I</t>
  </si>
  <si>
    <t>• Los resultados obtenidos de las pruebas de número acido (acidez), factor de potencia, rigidez dieléctrica, tensión interfacial  y contenido de agua están dentro de los valores sugeridos por la Norma IEEE C57.106-2015.
• Haciendo referencia al punto 4.2.1.1 de la Norma IEEE C57.106-2015, el aceite es de clase I y debería ser analizado en doce meses.</t>
  </si>
  <si>
    <t>≤69 KV</t>
  </si>
  <si>
    <t>&gt;69-&lt;230KV</t>
  </si>
  <si>
    <t>≥230-&lt;345KV</t>
  </si>
  <si>
    <t>≥230</t>
  </si>
  <si>
    <t>ACIDEZ</t>
  </si>
  <si>
    <t>máximo</t>
  </si>
  <si>
    <t>CLASE II</t>
  </si>
  <si>
    <t>• Los resultados obtenidos de las pruebas de número ácido (acidez), factor de potencia, tensión interfacial y contenido de agua están dentro de los valores sugeridos por la Norma IEEE C57.106-2015. 
• La rigidez dieléctrica está fuera del valor sugerido por la Norma IEEE C57.106-2015. 
• Haciendo referencia al punto 4.2.1.2 de la Norma IEEE C57.106-2015, el aceite es de clase II y debería ser reacondicionado.</t>
  </si>
  <si>
    <t>FACT. DE POT. 25°C</t>
  </si>
  <si>
    <t>-</t>
  </si>
  <si>
    <t>FACT. DE POT.100°C</t>
  </si>
  <si>
    <t xml:space="preserve">RIGIDEZ </t>
  </si>
  <si>
    <t>mínimo</t>
  </si>
  <si>
    <t xml:space="preserve">TENSION </t>
  </si>
  <si>
    <t>• Los resultados obtenidos de las pruebas de número ácido (acidez), factor de potencia y tensión interfacial  están dentro de los valores sugeridos por la Norma IEEE C57.106-2015. 
• La rigidez dieléctrica y contenido de agua están fuera del valor sugerido por la Norma IEEE C57.106-2015. 
• Haciendo referencia al punto 4.2.1.2 de la Norma IEEE C57.106-2015, el aceite es de clase II y debería ser reacondicionado.</t>
  </si>
  <si>
    <t xml:space="preserve">HUMEDAD </t>
  </si>
  <si>
    <t xml:space="preserve">COLOR </t>
  </si>
  <si>
    <t>VISUAL</t>
  </si>
  <si>
    <t>B Y C</t>
  </si>
  <si>
    <t>AZUFRE</t>
  </si>
  <si>
    <t>NO COR</t>
  </si>
  <si>
    <t>CASE III</t>
  </si>
  <si>
    <t xml:space="preserve">• Los resultados obtenidos de las pruebas de número ácido (acidez), rigidez dieléctrica, tensión interfacial y contenido de agua están dentro de los valores sugeridos por la Norma IEEE C57.106-2015.
• El factor de potencia,  están fuera del valor sugerido por la Norma IEEE C57.106-2015.
• Haciendo referencia al punto 4.2.1.3 de la Norma IEEE C57.106-2015, el aceite es de clase III y deberia ser regenerado o reemplazado.   </t>
  </si>
  <si>
    <t>DENSIDAD (max)</t>
  </si>
  <si>
    <t>INHIBIDOR  II</t>
  </si>
  <si>
    <t>CONMUTADOR</t>
  </si>
  <si>
    <t xml:space="preserve">• Los resultados obtenidos de las pruebas de número ácido (acidez), factor de potencia, rigidez dieléctrica y contenido de agua están dentro de los valores sugeridos por la Norma IEEE C57.106-2015.
• La tensión interfacial está fuera del valor sugerido por la Norma IEEE C57.106-2015.
• Haciendo referencia al punto 4.2.1.3 de la Norma IEEE C57.106-2015, el aceite es de clase III y el aceite deberia ser regenerado.   </t>
  </si>
  <si>
    <t>NUEVO</t>
  </si>
  <si>
    <t>EN SERVICIO</t>
  </si>
  <si>
    <t>&gt;69 KV</t>
  </si>
  <si>
    <t>NEUTRAL</t>
  </si>
  <si>
    <t>PERDIDAS 25°C</t>
  </si>
  <si>
    <t>• Los resultados obtenidos de las pruebas de número ácido (acidez), tensión interfacial y contenido de agua están dentro de los valores sugeridos por la Norma IEEE C57.106-2015. 
• La rigidez dieléctrica y factor de potencia están fuera de los valores sugeridos por la Norma IEEE C57.106-2015. 
• Haciendo referencia al punto 4.2.1.3 de la Norma IEEE C57.106-2015, el aceite es de clase III y debería ser regenerado o reemplazado.</t>
  </si>
  <si>
    <t>PERDIDAS 100°C</t>
  </si>
  <si>
    <t>• El resultado obtenido de número ácido (acidez) está dentro del valor sugerido por la Norma IEEE C57.106-2015. 
• La rigidez dieléctrica, tensión interfacial y contenido de agua están fuera de los valores sugeridos por la Norma IEEE C57.106-2015. 
• El factor de potencia (NA-no aplica), porque la muestra está muy oscura indicio de un alto grado de envejecimiento.</t>
  </si>
  <si>
    <t>FQ CONMUTADOR</t>
  </si>
  <si>
    <t>BIEN</t>
  </si>
  <si>
    <t>• Los resultados obtenidos de número ácido (acidez), rigidez dieléctrica, tensión y contenido de agua están dentro de los valores sugeridos por la Norma IEEE C57.106-2015.
•  El aceite es debería ser analizado en doce meses.</t>
  </si>
  <si>
    <t>MAL</t>
  </si>
  <si>
    <t>• Los resultados obtenidos de número ácido (acidez), tensión y contenido de agua están dentro de los valores sugeridos por la Norma IEEE C57.106-2015. 
• La rigidez dieléctrica está fuera del valor sugerido por la Norma IEEE C57.106-2015. 
• Haciendo referencia al punto 7.3 de la Norma IEEE C57.106-2015, el aceite debería ser reacondicionado.</t>
  </si>
  <si>
    <t>CR TRANSFORM.</t>
  </si>
  <si>
    <t>BUENO</t>
  </si>
  <si>
    <t>• Las cantidades de gases detectados se encuentran dentro de los valores típicos dados por la Norma IEC60599:2022.
• Haciendo referencia al punto 9 de la Norma IEC60599:2022 se debería hacer un nuevo muestreo dentro de doce meses para evaluar la tendencia de los gases detectados.
• Los ensayos fueron subcontratados a un laboratorio externo.</t>
  </si>
  <si>
    <t>VALORES TIPICOS NORMA IEC60599:1999+A1:2015</t>
  </si>
  <si>
    <t>Velocidad de incremento de gases en uL/año ( trafos con V&gt;5000L)</t>
  </si>
  <si>
    <t>Tipo de Transformador</t>
  </si>
  <si>
    <t>Hidrogeno</t>
  </si>
  <si>
    <t>Oxigeno</t>
  </si>
  <si>
    <t>Nitrogeno</t>
  </si>
  <si>
    <t>Metano</t>
  </si>
  <si>
    <t>Monoxido de C</t>
  </si>
  <si>
    <t>Dioxido de C</t>
  </si>
  <si>
    <t>Etileno</t>
  </si>
  <si>
    <t>Etano</t>
  </si>
  <si>
    <t>Acetileno</t>
  </si>
  <si>
    <t>Acetileno C2H2</t>
  </si>
  <si>
    <t>H2</t>
  </si>
  <si>
    <t>O2</t>
  </si>
  <si>
    <t>N2</t>
  </si>
  <si>
    <t>CH4</t>
  </si>
  <si>
    <t>CO</t>
  </si>
  <si>
    <t>CO2</t>
  </si>
  <si>
    <t>C2H4</t>
  </si>
  <si>
    <t>C2H6</t>
  </si>
  <si>
    <t>C2H2</t>
  </si>
  <si>
    <t>Comunicacion OTLC</t>
  </si>
  <si>
    <t>(*) Este valor típico es para transformadores en que la cuba tiene comunicación con el OLTC.</t>
  </si>
  <si>
    <t>Comucacion OTLC</t>
  </si>
  <si>
    <t>1 GAS</t>
  </si>
  <si>
    <t>• La cantidad de monóxido de carbono detectado se encuentra por encima del valor típico dado por la Norma IEC60599:2022.
• Haciendo referencia al punto 9 de la Norma IEC60599:2022 se debería hacer un nuevo muestreo dentro de seis meses para evaluar la tendencia de los gases detectados.</t>
  </si>
  <si>
    <t>Distribucion</t>
  </si>
  <si>
    <t>Potencia</t>
  </si>
  <si>
    <t>DE HORNO</t>
  </si>
  <si>
    <t>**</t>
  </si>
  <si>
    <t>VARIOS GASES</t>
  </si>
  <si>
    <t>• Las cantidades de hidrógeno, metano, etileno, etano, acetileno, monóxido y dióxido de carbono se encuentran por encima de los valores típicos dados por la Norma IEC60599:2022.
• Haciendo referencia al punto 9 de la Norma IEC60599:2022 se debería hacer un nuevo muestreo dentro de tres meses para evaluar la tendencia de los gases detectados.</t>
  </si>
  <si>
    <t>DE Corriente</t>
  </si>
  <si>
    <t>DE Voltaje</t>
  </si>
  <si>
    <t>Evaluacion Conmutadores IEEEC57.139-2010</t>
  </si>
  <si>
    <t>Instrumento</t>
  </si>
  <si>
    <t>1° CASO</t>
  </si>
  <si>
    <t>2° CASO</t>
  </si>
  <si>
    <t>CR TRANSFORMADOR DE HORNO</t>
  </si>
  <si>
    <t>• Las cantidades de gases detectados se encuentran dentro de los valores típicos dados por la Norma IEC60599:1999+A1:2022.
(*) Este valor depende del diseño y ensamble del conmutador. Por esta razón no se consigna valor límite para el acetileno IEC60599:2015 Tabla A.4 pág 51.</t>
  </si>
  <si>
    <t>Bushing</t>
  </si>
  <si>
    <t>Variable</t>
  </si>
  <si>
    <t>Caution (2)</t>
  </si>
  <si>
    <t>Warning (3)</t>
  </si>
  <si>
    <t>Cables</t>
  </si>
  <si>
    <t>C2H4/C2H2</t>
  </si>
  <si>
    <t>Interruptor</t>
  </si>
  <si>
    <t>TDHG/C2H2</t>
  </si>
  <si>
    <t>Conmutador</t>
  </si>
  <si>
    <t>237 ppm</t>
  </si>
  <si>
    <t>28 ppm</t>
  </si>
  <si>
    <t>653 ppm</t>
  </si>
  <si>
    <t>59 ppm</t>
  </si>
  <si>
    <t>(*) Norma de diagnóstico:  IEC60599:2022, para el aceite del conmutador no se tiene referencia de valores típicos.</t>
  </si>
  <si>
    <t>1773 ppm</t>
  </si>
  <si>
    <t>292 ppm</t>
  </si>
  <si>
    <t xml:space="preserve">TDHG </t>
  </si>
  <si>
    <t>1213 ppm</t>
  </si>
  <si>
    <t>96 ppm</t>
  </si>
  <si>
    <t>TDHG =(CH4+C2H6+C2H4)</t>
  </si>
  <si>
    <t>PCB's</t>
  </si>
  <si>
    <t>&lt; 2</t>
  </si>
  <si>
    <t>• Según Norma IEC 60422:2013 el aceite se considera libre de PCB’s cuando lo detectado es menor a 2 ppm.
• De acuerdo a la guía Metodológica para el Inventario de Existencias y residuos para la identificación de Bifenilos Policlorados (2020), el producto de aceite dieléctrico analizado se encuentra DENTRO de la concentración permitida en el parámetro de PCB (&lt;50mg/kg). Para mayor información:http://www.minem.gob.pe/minem/archivos. El ensayo fue subcontratado a SGS del Perú S.A., acreditado por INACAL.</t>
  </si>
  <si>
    <t>≥ 2</t>
  </si>
  <si>
    <r>
      <rPr>
        <rFont val="Calibri"/>
        <color theme="1"/>
        <sz val="11.0"/>
      </rPr>
      <t xml:space="preserve">• Los resultados obtenidos de las pruebas detectaron </t>
    </r>
    <r>
      <rPr>
        <rFont val="Calibri"/>
        <color rgb="FFFF0000"/>
        <sz val="11.0"/>
      </rPr>
      <t>165</t>
    </r>
    <r>
      <rPr>
        <rFont val="Calibri"/>
        <color theme="1"/>
        <sz val="11.0"/>
      </rPr>
      <t xml:space="preserve">ppm de PCB's en la muestra de aceite aislante, se considera contaminado con PCB's según Norma IEC 60422:2013.
• De acuerdo a la guía Metodológica para el Inventario de Existencias y residuos para la identificaciín de Bifenilos Policlorados (2020), el producto de aceite dieléctrico analizado se encuentra </t>
    </r>
    <r>
      <rPr>
        <rFont val="Calibri"/>
        <color rgb="FFFF0000"/>
        <sz val="11.0"/>
      </rPr>
      <t>FUERA</t>
    </r>
    <r>
      <rPr>
        <rFont val="Calibri"/>
        <color theme="1"/>
        <sz val="11.0"/>
      </rPr>
      <t xml:space="preserve"> de la concentración permitida en el parámetro de PCB (&lt;50mg/kg). Para mayor información:http://www.minem.gob.pe/minem/archivos; El ensayo fue subcontratado a SGS del Perú S.A., acreditado por INACAL.</t>
    </r>
  </si>
  <si>
    <t>FURANOS</t>
  </si>
  <si>
    <t>GP≥700</t>
  </si>
  <si>
    <t>• Según los resultados obtenidos, el aislamiento se encuentra  en buen estado.</t>
  </si>
  <si>
    <t>CALCULO DE GP CON 2-FURALDEHIDO</t>
  </si>
  <si>
    <t>GP entre 450 y &lt;700</t>
  </si>
  <si>
    <t>• Según los resultados obtenidos, el aislamiento se encuentra medianamente envejecido.</t>
  </si>
  <si>
    <t>2- Furaldehido=</t>
  </si>
  <si>
    <t>ppb</t>
  </si>
  <si>
    <t>GP entre 250 y &lt;450</t>
  </si>
  <si>
    <t>• Según los resultados obtenidos, el aislamiento se encuentra envejecido.</t>
  </si>
  <si>
    <t>GP =</t>
  </si>
  <si>
    <t xml:space="preserve">por Chendong </t>
  </si>
  <si>
    <t>GP entre &lt;250</t>
  </si>
  <si>
    <t>• Según los resultados obtenidos, el aislamiento se encuentra severamente degradado.</t>
  </si>
  <si>
    <t>*Límite de dección del método = 10ppb</t>
  </si>
  <si>
    <t>INHIBIDORES</t>
  </si>
  <si>
    <t>&lt;0.08%</t>
  </si>
  <si>
    <t>• De acuerdo al resultado obtenido  se considera como un aceite Tipo I (no inhibido) tomando como referencia la norma ASTM D3487-16.</t>
  </si>
  <si>
    <t>0.08%-3.00%</t>
  </si>
  <si>
    <t>• De acuerdo al resultado obtenido  se considera como un aceite Tipo II (inhibido) tomando como referencia la norma ASTM D3487-16.</t>
  </si>
  <si>
    <r>
      <rPr>
        <rFont val="Calibri"/>
        <color theme="1"/>
        <sz val="11.0"/>
      </rPr>
      <t xml:space="preserve">-
</t>
    </r>
    <r>
      <rPr>
        <rFont val="Calibri"/>
        <color rgb="FFFF0000"/>
        <sz val="11.0"/>
      </rPr>
      <t>midel , silicona</t>
    </r>
  </si>
  <si>
    <t xml:space="preserve">• Según ASTM D3487-16, para este tipo de fluido aislante, no se tiene referencia de valores típicos. </t>
  </si>
  <si>
    <t>METALES</t>
  </si>
  <si>
    <t>&lt;0.05ppm</t>
  </si>
  <si>
    <t>• Según los resultados obtenidos, no se detectó presencia de metales en la muestra de aceite.</t>
  </si>
  <si>
    <t>&gt;0.05 ppm</t>
  </si>
  <si>
    <t>• Según los resultados obtenidos, se detectó Xppm de M como compuesto metálico en la muestra de aceite.</t>
  </si>
  <si>
    <t>• Según los resultados obtenidos, se detectó Xppm de M como compuestos metálicos en la muestra de aceite.</t>
  </si>
  <si>
    <t>GRADO DE POLIMERIZACION: Se recepcionó muestra de papel impregando en aceite aislante.</t>
  </si>
  <si>
    <t>1000-1200</t>
  </si>
  <si>
    <t>• Condición de la muestra:  Nuevo de acuerdo a norma IEC 60450</t>
  </si>
  <si>
    <t>650-1000</t>
  </si>
  <si>
    <t>• Condición de la muestra:  Bueno de acuerdo a norma IEC 60450</t>
  </si>
  <si>
    <t>350-650</t>
  </si>
  <si>
    <t>• Condición de la muestra:  Medianamente envejecido de acuerdo a norma IEC 60450</t>
  </si>
  <si>
    <t>&lt; 350</t>
  </si>
  <si>
    <t>• Condición de la muestra:  Envejecido de acuerdo a norma IEC 60450</t>
  </si>
  <si>
    <t>DBDS</t>
  </si>
  <si>
    <t>&lt;5.0 ppm</t>
  </si>
  <si>
    <t>• Según los resultados obtenidos la presencia de dibencil disulfuro en la muestra de aceite aislante está por debajo del valor de referencia de la norma IEC 60422:2013.</t>
  </si>
  <si>
    <t>≥5.0 ppm</t>
  </si>
  <si>
    <t>• Se detectó Xppm de dibencil disulfuro en la muestra de aceite aislante este resultado se encuentra por encima del valor de referencia dado por la Norma IEC 60422:2013.</t>
  </si>
  <si>
    <t>• Reduzca la corrosividad del aceite agregando un pasivador de cobre o elimine la fuente de corrosividad cambiando el aceite o eliminando compuestos corrosivos por medio de tratamientos adecuados de aceite de acuerdo a lo recomendado en la norma IEC 60422:2013. El monitoreo regular es necesario.</t>
  </si>
  <si>
    <t>AZUFRE CORROSIVO</t>
  </si>
  <si>
    <t>ASTM D130</t>
  </si>
  <si>
    <t>1A</t>
  </si>
  <si>
    <t>1A-anaranjado</t>
  </si>
  <si>
    <t>1B</t>
  </si>
  <si>
    <t>1B-anaranjado oscuro</t>
  </si>
  <si>
    <t>2A</t>
  </si>
  <si>
    <t>2A-rojo vino tinto</t>
  </si>
  <si>
    <t>2B</t>
  </si>
  <si>
    <t>2B-lavanda</t>
  </si>
  <si>
    <t>2C</t>
  </si>
  <si>
    <t>2C-multicolor con lavanda azul o plata, o ambos, sobreimpreso en rojo vino tinto</t>
  </si>
  <si>
    <t>2D</t>
  </si>
  <si>
    <t>2D-plateado</t>
  </si>
  <si>
    <t>2E</t>
  </si>
  <si>
    <t>2E-metálico o dorado</t>
  </si>
  <si>
    <t>3A</t>
  </si>
  <si>
    <t>3A-magenta nublado en tira metálica</t>
  </si>
  <si>
    <t>3B</t>
  </si>
  <si>
    <t>3B-multicolor con muestra de color rojo y verde (pavo real), pero no gris</t>
  </si>
  <si>
    <t>4A</t>
  </si>
  <si>
    <t>4A-negro transparente, gris oscuro o marrón mostrando apenas  verde pavo real</t>
  </si>
  <si>
    <t>4B</t>
  </si>
  <si>
    <t>4B-grafito o negro sin brillo</t>
  </si>
  <si>
    <t>4C</t>
  </si>
  <si>
    <t>4C-negro brillante como el azabache</t>
  </si>
  <si>
    <t>No Corrosivo</t>
  </si>
  <si>
    <t>• De acuerdo a los resultados se concluye que el azufre por el método ASTM D1275 es no corrosivo.</t>
  </si>
  <si>
    <t>Corrosivo</t>
  </si>
  <si>
    <t>• De acuerdo a los resultados se concluye que el azufre por el método ASTM D1275 es corrosivo.</t>
  </si>
  <si>
    <t>IEC 62535 (48 horas)</t>
  </si>
  <si>
    <t>• De acuerdo a los resultados se concluye que el azufre por el método IEC62535-ANEXO A es no corrosivo. </t>
  </si>
  <si>
    <t>• De acuerdo a los resultados se concluye que el azufre por el método IEC62535-ANEXO A es corrosivo. </t>
  </si>
  <si>
    <t>IEC 62535 (72 horas)</t>
  </si>
  <si>
    <t>Negativo sin depósitos</t>
  </si>
  <si>
    <t>• De acuerdo a los resultados se concluye que el azufre por el método IEC 62535 es negativo a la corrosion en cobre y sin depositos en el papel.</t>
  </si>
  <si>
    <t>Positivo sin depósitos</t>
  </si>
  <si>
    <t>• De acuerdo a los resultados se concluye que el azufre por el método IEC 62535 es positivo a la corrosion en cobre y sin depositos en el papel.</t>
  </si>
  <si>
    <t>Positivo con depósitos</t>
  </si>
  <si>
    <t>• De acuerdo a los resultados se concluye que el azufre por el método IEC 62535 es positivo a la corrosion en cobre y con depositos de sulfuro de cobre en el papel.</t>
  </si>
  <si>
    <t>VISCOSIDAD</t>
  </si>
  <si>
    <t>CONSTANTE=</t>
  </si>
  <si>
    <t>≤ 12cSt</t>
  </si>
  <si>
    <t>• Valor de viscosidad dentro del limite para un aceite mineral.</t>
  </si>
  <si>
    <t>TIEMPO=</t>
  </si>
  <si>
    <t>SEGUNDOS</t>
  </si>
  <si>
    <t>&gt;12cSt</t>
  </si>
  <si>
    <t>• Valor de viscosidad fuera del limite para un aceite mineral.</t>
  </si>
  <si>
    <t>Viscosidad=</t>
  </si>
  <si>
    <t>cSt</t>
  </si>
  <si>
    <t>SEDIMENTOS</t>
  </si>
  <si>
    <t xml:space="preserve"> &lt;0.001%</t>
  </si>
  <si>
    <t>• No se encontró sedimentos ni lodo precipitable.</t>
  </si>
  <si>
    <t>≥0.001%</t>
  </si>
  <si>
    <t>• Se encontró sedimentos y lodo precipitable.</t>
  </si>
  <si>
    <t>PARTICULAS</t>
  </si>
  <si>
    <t>CODIGO ISO: X/Y/Z
• Según codigo ISO 4406: X es el número de la escala que representa el número de partículas iguales o más grandes que 4μm por mililitro de líquido. 
• Según codigo ISO 4406: Y es el número de la escala que representa el número de partículas iguales o más grandes que 6μm por mililitro de líquido.
• Según codigo ISO 4406: Z es el número de la escala que representa el número de partículas iguales o más grandes que 14μm por mililitro de líquido.</t>
  </si>
  <si>
    <t>PASIVADORES</t>
  </si>
  <si>
    <t>• Según los resultados obtenidos, se detectó Xppm de 5-Tolutriazol (TTA) en la muestra de aceite.</t>
  </si>
  <si>
    <t>• Según los resultados obtenidos, se detectó Xppm de Benzotriazol (BTA) en la muestra de aceite.</t>
  </si>
  <si>
    <t>&lt;50 ppm</t>
  </si>
  <si>
    <t>• De acuerdo al resultado obtenido (&lt;50 ppm), la cantidad de contenido de pasivador es deficiente tomando como referencia la norma IEC 60422:2013.
• Se recomienda  eliminar la fuente de corrosividad cambiando el aceite o eliminando los compuestos corrosivos mediante tratamientos de aceite adecuados, o como una solución a corto plazo, rellene con un pasivador nuevo, hasta al menos 100 ppm.</t>
  </si>
  <si>
    <t>50-70 ppm</t>
  </si>
  <si>
    <t>• De acuerdo al resultado obtenido (50-70 ppm), la cantidad de contenido de pasivador es justo tomando como referencia la norma IEC 60422:2013.
• Se recomienda mantener un control regular.</t>
  </si>
  <si>
    <t>&gt;70 ppm</t>
  </si>
  <si>
    <t>• De acuerdo al resultado obtenido (&gt;70 ppm), la cantidad de contenido de pasivador es bueno tomando como referencia la norma IEC 60422:2013
• Se recomienda realizar menos monitoreos frecuente aceptable.</t>
  </si>
  <si>
    <t>Se recepcionó botella y jeringa con fluido aislante (Silicona).</t>
  </si>
  <si>
    <t>FISICOQUIMICO</t>
  </si>
  <si>
    <t>• Los resultados obtenidos de las pruebas de número ácido (acidez), factor de potencia, rigidez dieléctrica y el contenido de agua están dentro de los valores recomendados por la Norma IEEE C57.111-1989(R2009).
• Haciendo referencia a la Norma IEEE C57.111-1989(R2009), el fluido aislante debería ser analizado en doce meses.</t>
  </si>
  <si>
    <t>• Los resultados obtenidos de las pruebas de número ácido (acidez), facor de potencia, tensión interfacial y contenido de agua están dentro de los valores recomendados por la Norma IEEE C57.111-1989(R2009).
• La rigidez dieléctrica está fuera del valor recomendado por la Norma IEEE C57.111-1989(R2009).
• Haciendo referencia al punto 4.3.2.2 de la Norma IEEE C57.111-1989(R2009), el aceite debería ser reacondicionado.</t>
  </si>
  <si>
    <t>• Los resultados obtenidos de las número ácido (acidez), factor de potencia y tensión interfacial  están dentro de los valores recomendados por la Norma IEEE C57.111-1989(R2009)
• La rigidez dieléctrica y contenido de agua están fuera del valor recomendado por la Norma IEEE C57.111-1989(R2009).
• Haciendo referencia al punto 4.3.2.2 de la Norma Norma IEEE C57.111-1989(R2009) el aceite debería ser filtrado y reacondicionado.</t>
  </si>
  <si>
    <t xml:space="preserve">• Los resultados obtenidos de número ácido (acidez), factor de potencia, rigidez dieléctrica y contenido de agua están dentro de los valores recomendados por la Norma IEEE C57.111-1989(R2009).
• La tensión interfacial está fuera del valor recomendado por la Norma IEEE C57.111-1989(R2009).
• Haciendo referencia al punto 4.3.2.1 de la Norma Norma IEEE C57.111-1989(R2009), el aceite deberia ser filtrado.   </t>
  </si>
  <si>
    <t xml:space="preserve">          </t>
  </si>
  <si>
    <t>CROMATOGRAFICO</t>
  </si>
  <si>
    <t>• Las cantidades de gases detectados se encuentran dentro de los valores recomendados por la Norma IEEE Std C57.146-2005.
• Se debería realizar un nuevo muestreo en doce meses para evaluar la tendencia de los gases.</t>
  </si>
  <si>
    <t>• La cantidad de monóxido de carbono detectado se encuentra por encima del valor de referencia dado por la Norma IEEE Std C57.146-2005.
• Se debería hacer un nuevo muestreo dentro de seis meses para evaluar la tendencia de los gases detectados.</t>
  </si>
  <si>
    <t>GASES</t>
  </si>
  <si>
    <t>• Las cantidades de metano, etileno, etano, monóxido y dióxido de carbono se encuentran por encima de los valores de referencia dados por la Norma IEEE Std C57.146-2005.
• Se debería hacer un nuevo muestreo dentro de tres meses para evaluar la tendencia de los gases detectados.</t>
  </si>
  <si>
    <t>PCB:</t>
  </si>
  <si>
    <t>• Según Procedimiento ABB 9CFA0880-016 (punto 5.1) el aceite se considera libre de pcb cuando lo detectado es menor a 5 ppm.</t>
  </si>
  <si>
    <t>(*) Norma de diagnóstico: IEEE C57.111-1989(R2003) (Solo se indican valores de orientación para los ensayos de rutina en fluidos en servicio)</t>
  </si>
  <si>
    <t>NUEVO EN EL TRAFO</t>
  </si>
  <si>
    <t>ACEITE USADO</t>
  </si>
  <si>
    <t>Contamination</t>
  </si>
  <si>
    <t>Fluid Appearance</t>
  </si>
  <si>
    <t>Equipment</t>
  </si>
  <si>
    <t>Filter Aid</t>
  </si>
  <si>
    <t>Test</t>
  </si>
  <si>
    <t>Comments</t>
  </si>
  <si>
    <t>ASTM</t>
  </si>
  <si>
    <t>ACEPTABLE</t>
  </si>
  <si>
    <t>INACEPTABLE</t>
  </si>
  <si>
    <t>ACIDEZ (max)</t>
  </si>
  <si>
    <t>D-974</t>
  </si>
  <si>
    <t>Degradation of cellulose</t>
  </si>
  <si>
    <t>Water</t>
  </si>
  <si>
    <t>Clear to milky white</t>
  </si>
  <si>
    <t>Dehydrator</t>
  </si>
  <si>
    <t>None</t>
  </si>
  <si>
    <t>Water content dielectric</t>
  </si>
  <si>
    <t>Separated water should be siphoned or drained</t>
  </si>
  <si>
    <t>PERDIDAS 25°C (max)</t>
  </si>
  <si>
    <t>D-924</t>
  </si>
  <si>
    <t>Polar/ionic contamination</t>
  </si>
  <si>
    <t>Products of Arcing</t>
  </si>
  <si>
    <t>RIGIDEZ (min)</t>
  </si>
  <si>
    <t>D-877</t>
  </si>
  <si>
    <t>Particulates, water</t>
  </si>
  <si>
    <t>Silicone dioxide, carbon, highly crosslinked gelatinous polymer</t>
  </si>
  <si>
    <t>Clear w/particulates to grey-white, strong odor</t>
  </si>
  <si>
    <t>Cartridge filter/ vacuum or filter press and vacuum</t>
  </si>
  <si>
    <t>None or diatomaceo
us earth</t>
  </si>
  <si>
    <t>Dielectric strength, volume resistivity, dissipation facto</t>
  </si>
  <si>
    <t>This method will not return liquid to original mfr. spec</t>
  </si>
  <si>
    <t>HUMEDAD (max)</t>
  </si>
  <si>
    <t>D-1533</t>
  </si>
  <si>
    <t>Water contamination</t>
  </si>
  <si>
    <t>Particulates</t>
  </si>
  <si>
    <t>Clear with particles hazy</t>
  </si>
  <si>
    <t>Cartridge filter or filter press</t>
  </si>
  <si>
    <t>None or diatomaceo us earth</t>
  </si>
  <si>
    <t>Dielectric strength, visual</t>
  </si>
  <si>
    <t>May be removed by filtration</t>
  </si>
  <si>
    <t>COLOR (max)</t>
  </si>
  <si>
    <t>D-2129</t>
  </si>
  <si>
    <t>Discoloration due to interaction with transformer</t>
  </si>
  <si>
    <t>Faint to distinct coloration</t>
  </si>
  <si>
    <t>Cartridge filter or
filter press</t>
  </si>
  <si>
    <t>Activated
carbon</t>
  </si>
  <si>
    <t>Power factor, acid number, flash point, dielectric strength</t>
  </si>
  <si>
    <t>May have no effect on ASTMD-877 performance, check with equipment mfr.</t>
  </si>
  <si>
    <t>Clear, free of particles</t>
  </si>
  <si>
    <t>Particulates, free water, contamination</t>
  </si>
  <si>
    <t>Colorless, clear, free of particles</t>
  </si>
  <si>
    <t>Mineral oil and low fire point contaminants of higher volatility</t>
  </si>
  <si>
    <t>Clear to two phase</t>
  </si>
  <si>
    <t>Highly volatile materials may be removed by heat and vacuum. Mineral oil contamination requires replacement of fluid.</t>
  </si>
  <si>
    <t>Flash and fire
points</t>
  </si>
  <si>
    <t>The NEC requires that the fluid has a fire point of ³ 300 °C.</t>
  </si>
  <si>
    <t>D-1298</t>
  </si>
  <si>
    <t>0.9570– 0.9640</t>
  </si>
  <si>
    <t>Flash point (°C min.)</t>
  </si>
  <si>
    <t>D-92</t>
  </si>
  <si>
    <t>Fire point (°C min.)</t>
  </si>
  <si>
    <t>Contamination by volatile material</t>
  </si>
  <si>
    <t>Pour point (°C max.)</t>
  </si>
  <si>
    <t>D-97</t>
  </si>
  <si>
    <t>Refractive index (25 °C)</t>
  </si>
  <si>
    <t>D-1807</t>
  </si>
  <si>
    <t>1.4010–1.4040</t>
  </si>
  <si>
    <t>Viscosity at 0 °C, cSt</t>
  </si>
  <si>
    <t>D-2161/D455</t>
  </si>
  <si>
    <t>81–92</t>
  </si>
  <si>
    <t>47.5-52.5</t>
  </si>
  <si>
    <t>Fluid degradation, contamination</t>
  </si>
  <si>
    <t>Viscosity at 25 °C, cSt</t>
  </si>
  <si>
    <t>D-2161</t>
  </si>
  <si>
    <t>47.5–52.5</t>
  </si>
  <si>
    <t>Viscosity at 100 °C, cSt</t>
  </si>
  <si>
    <t>15–17</t>
  </si>
  <si>
    <t>Volatile matter (max. weight %)</t>
  </si>
  <si>
    <t>D-4559</t>
  </si>
  <si>
    <t>Norma de diagnóstico IEEE Std C57.146-2005</t>
  </si>
  <si>
    <t>H</t>
  </si>
  <si>
    <t>O</t>
  </si>
  <si>
    <t>N</t>
  </si>
  <si>
    <t>SILICONA</t>
  </si>
  <si>
    <t>• Las cantidades de gases detectados se encuentran dentro de los valores de referencia dados por la Norma IEEE Std C57.146-2005.</t>
  </si>
  <si>
    <t>(*) Norma de diagnóstico: IEC60599:1999+A1:2007</t>
  </si>
  <si>
    <t>Para el aceite del conmutador no se tiene referencia de valores límites.</t>
  </si>
  <si>
    <r>
      <rPr>
        <rFont val="Noto Sans Symbols"/>
        <color theme="1"/>
        <sz val="10.0"/>
      </rPr>
      <t xml:space="preserve">· </t>
    </r>
    <r>
      <rPr>
        <rFont val="Times New Roman"/>
        <color theme="1"/>
        <sz val="10.0"/>
      </rPr>
      <t>Se detectó la presencia de gases combustibles como monóxido de carbono en la muestra de aceite.</t>
    </r>
  </si>
  <si>
    <r>
      <rPr>
        <rFont val="Calibri"/>
        <color theme="1"/>
        <sz val="10.0"/>
      </rPr>
      <t xml:space="preserve">· </t>
    </r>
    <r>
      <rPr>
        <rFont val="Calibri"/>
        <color theme="1"/>
        <sz val="11.0"/>
      </rPr>
      <t>Se detectó la presencia de gases combustibles como hidrógeno, metano, monóxido de carbono, etileno y etano en la muestra de aceite.</t>
    </r>
  </si>
  <si>
    <t>• Los resultados obtenidos de las pruebas de pérdidas dieléctricas están dentro de los valores recomendados por la Norma IEEE C57.106-2006.
• El índice de neutralización (acidez), rigidez dieléctrica (25°C), tensión interfacial  y contenido de agua están fuera de los valores recomendados por la Norma IEEE C57.106-2006.
• Haciendo referencia al punto 7.2.2 y 7.2.3 de la Norma IEEE C57.106-2006, el aceite debería ser regenerado y reacondicionado por termovacío.</t>
  </si>
  <si>
    <t>Se recepcionó botella y jeringa con fluido aislante (MIDEL).</t>
  </si>
  <si>
    <t>• El número ácido (acidez), factor de potencia, rigidez dieléctrica y contenido de agua están dentro de los valores recomendados por la Norma IEC 61203:1992.
• El factor de potencia es evaluada con la norma de ensayo IEC 60247-ed.3.0 (25°C,50Hz) según norma IEC 61203:1992.
• Haciendo referencia a la Norma IEC 61203:1992, el fluido aislante debería ser analizado en doce meses.</t>
  </si>
  <si>
    <t>• Las cantidades de gases detectados se encuentran dentro de los valores típicos dados por la Norma IEEE Std C57.155-2014.
• Se debería realizar un nuevo muestreo en doce meses para evaluar la tendencia de los gases.</t>
  </si>
  <si>
    <t>• La cantidad de monóxido de carbono detectado se encuentra por encima del valor típico dado por la Norma IEEE Std C57.155-2014.
• Se debería hacer un nuevo muestreo dentro de seis meses para evaluar la tendencia de los gases detectados.</t>
  </si>
  <si>
    <t>• Las cantidades de metano, etileno, etano, monóxido y dióxido de carbono se encuentran por encima de los valores típicos dados por la Norma IEEE Std C57.155-2014.
• Se debería hacer un nuevo muestreo dentro de tres meses para evaluar la tendencia de los gases detectados.</t>
  </si>
  <si>
    <t>• Según Procedimiento ABB 9CFA0880-016 (punto 5.1) el fluido se considera libre de pcb cuando lo detectado es menor a 5 ppm.</t>
  </si>
  <si>
    <t>PERDIDAS °C (max)-50HZ</t>
  </si>
  <si>
    <t xml:space="preserve">IEC60247 </t>
  </si>
  <si>
    <t>0.03 (90°)</t>
  </si>
  <si>
    <t>0.01 (25°C)</t>
  </si>
  <si>
    <t>0.01 - máximo IEC 60247</t>
  </si>
  <si>
    <t>IEC60156</t>
  </si>
  <si>
    <t xml:space="preserve">30 -mínimo </t>
  </si>
  <si>
    <t>D-1524</t>
  </si>
  <si>
    <t>TRANSPARENTE</t>
  </si>
  <si>
    <t>Norma de diagnóstico IEEE Std C57.155-2014</t>
  </si>
  <si>
    <t>ESTER SINTETICO</t>
  </si>
  <si>
    <t>A.      Diagnóstico en Partículas</t>
  </si>
  <si>
    <t>CODIGO ISO: X/Y/Z</t>
  </si>
  <si>
    <t>CODIGO ISO: 20/19/17
• Según codigo ISO 4406: 20 es el número de la escala que representa el número de partículas iguales o más grandes que 4μm por mililitro de líquido. 
• Según codigo ISO 4406: 19 es el número de la escala que representa el número de partículas iguales o más grandes que 6μm por mililitro de líquido.
• Según codigo ISO 4406: 17 es el número de la escala que representa el número de partículas iguales o más grandes que 14μm por mililitro de líquido.</t>
  </si>
  <si>
    <t>Diagnóstico en Inhibidores</t>
  </si>
  <si>
    <t>Resultado &gt;0.09%</t>
  </si>
  <si>
    <t>Resultado &lt;0.09%</t>
  </si>
  <si>
    <t>· El valor recomendado para un aceite inhibido en servicio según Norma IEEE C57.106-2006 es 0.09 % como mínimo de contenido de inhibidor. 
· El resultado obtenido está fuera del valor referencial para un aceite inhibido en servicio.</t>
  </si>
  <si>
    <t>Se recepcionó botella y jeringa con fluido aislante (FR3).</t>
  </si>
  <si>
    <t>Norma de diagnóstico: IEEEC57-147-2018</t>
  </si>
  <si>
    <t>(*) Los valores límites se toman de B900-00092S Properties For Envirotemp FR3 Fluid- Filled Equipment (Value Limits for continued service).</t>
  </si>
  <si>
    <t>NUEVO RECIBIDO</t>
  </si>
  <si>
    <t>NUEVO EN UN TRAFO NUEVO ANTES DE ENERGIZAR</t>
  </si>
  <si>
    <t>• Los resultados obtenidos de las pruebas de índice de neutralización (acidez), pérdidas dieléctricas, rigidez dieléctrica (21°C)  y contenido de agua están dentro de los valores recomendados por la Norma IEEE C57.147-2018.
• Haciendo referencia al punto 8.3 de la Norma IEEE C57.147-2018, el fluido aislante debería ser analizado en doce meses.</t>
  </si>
  <si>
    <t>&lt;=69</t>
  </si>
  <si>
    <t>&gt;69-230</t>
  </si>
  <si>
    <t>&gt;=230</t>
  </si>
  <si>
    <t>&gt;69-&lt;230</t>
  </si>
  <si>
    <t>&gt;230</t>
  </si>
  <si>
    <r>
      <rPr>
        <rFont val="Calibri"/>
        <b/>
        <color theme="1"/>
        <sz val="10.0"/>
      </rPr>
      <t>≤</t>
    </r>
    <r>
      <rPr>
        <rFont val="Calibri"/>
        <b/>
        <color theme="1"/>
        <sz val="10.0"/>
      </rPr>
      <t>0.06</t>
    </r>
  </si>
  <si>
    <r>
      <rPr>
        <rFont val="Calibri"/>
        <b/>
        <color theme="1"/>
        <sz val="10.0"/>
      </rPr>
      <t>≤</t>
    </r>
    <r>
      <rPr>
        <rFont val="Calibri"/>
        <b/>
        <color theme="1"/>
        <sz val="10.0"/>
      </rPr>
      <t>2.5</t>
    </r>
  </si>
  <si>
    <r>
      <rPr>
        <rFont val="Calibri"/>
        <b/>
        <color theme="1"/>
        <sz val="10.0"/>
      </rPr>
      <t>≤</t>
    </r>
    <r>
      <rPr>
        <rFont val="Calibri"/>
        <b/>
        <color theme="1"/>
        <sz val="10.0"/>
      </rPr>
      <t>0.2</t>
    </r>
  </si>
  <si>
    <t>• Los resultados obtenidos de las pruebas de índice de neutralización (acidez), pérdidas dieléctricas, tensión interfacial y contenido de agua están dentro de los valores recomendados por la Norma IEEE C57.147-2018. 
• La rigidez dieléctrica (25°C) está fuera del valor recomendado por la Norma IEEE C57.147-2018. 
• Haciendo referencia al punto 8.4.2 de la Norma IEEE C57.147-2018, el fluido aislante debería ser filtrado y reacondicionado por termovacío.</t>
  </si>
  <si>
    <t>PERDIDAS 100°C (max)</t>
  </si>
  <si>
    <r>
      <rPr>
        <rFont val="Calibri"/>
        <b/>
        <color theme="1"/>
        <sz val="10.0"/>
      </rPr>
      <t>≤</t>
    </r>
    <r>
      <rPr>
        <rFont val="Calibri"/>
        <b/>
        <color theme="1"/>
        <sz val="10.0"/>
      </rPr>
      <t>4.0</t>
    </r>
  </si>
  <si>
    <t>D-1816</t>
  </si>
  <si>
    <t>≥40</t>
  </si>
  <si>
    <t>≥30</t>
  </si>
  <si>
    <t>TENSION (min)</t>
  </si>
  <si>
    <t>D-971</t>
  </si>
  <si>
    <r>
      <rPr>
        <rFont val="Calibri"/>
        <b/>
        <color theme="1"/>
        <sz val="10.0"/>
      </rPr>
      <t>≤</t>
    </r>
    <r>
      <rPr>
        <rFont val="Calibri"/>
        <b/>
        <color theme="1"/>
        <sz val="10.0"/>
      </rPr>
      <t>200</t>
    </r>
  </si>
  <si>
    <r>
      <rPr>
        <rFont val="Calibri"/>
        <b/>
        <color theme="1"/>
        <sz val="10.0"/>
      </rPr>
      <t>≤</t>
    </r>
    <r>
      <rPr>
        <rFont val="Calibri"/>
        <b/>
        <color theme="1"/>
        <sz val="10.0"/>
      </rPr>
      <t>400</t>
    </r>
  </si>
  <si>
    <t>D-1500</t>
  </si>
  <si>
    <t>&lt;1.0</t>
  </si>
  <si>
    <t xml:space="preserve">• Los resultados obtenidos de las pruebas de índice de neutralización (acidez), pérdidas dieléctricas,rigidez dieléctrica (25°C)y contenido de agua están dentro de los valores recomendados por la Norma IEEE C57.147-2018.
• La tensión interfacial está fuera del valor recomendado por la Norma IEEE C57.147-2018.
• Haciendo referencia al punto 8.5 de la Norma IEEE C57.147-2018, el fluido aislante deberia ser regenerado.   </t>
  </si>
  <si>
    <t>VISCOSIDAD 40°C (max)</t>
  </si>
  <si>
    <t>D445</t>
  </si>
  <si>
    <t>≥10% Valor inicial</t>
  </si>
  <si>
    <t>VISCOSIDAD 40°C</t>
  </si>
  <si>
    <r>
      <rPr>
        <rFont val="Calibri"/>
        <b/>
        <color theme="1"/>
        <sz val="10.0"/>
      </rPr>
      <t>≤</t>
    </r>
    <r>
      <rPr>
        <rFont val="Calibri"/>
        <b/>
        <color theme="1"/>
        <sz val="10.0"/>
      </rPr>
      <t>10</t>
    </r>
  </si>
  <si>
    <t>D1275</t>
  </si>
  <si>
    <t>NC</t>
  </si>
  <si>
    <t>D2945</t>
  </si>
  <si>
    <t>0.5% del requerimiento de fabrcacion</t>
  </si>
  <si>
    <t>VISCOSIDAD 100°C</t>
  </si>
  <si>
    <r>
      <rPr>
        <rFont val="Calibri"/>
        <b/>
        <color theme="1"/>
        <sz val="10.0"/>
      </rPr>
      <t>≤</t>
    </r>
    <r>
      <rPr>
        <rFont val="Calibri"/>
        <b/>
        <color theme="1"/>
        <sz val="10.0"/>
      </rPr>
      <t>40</t>
    </r>
  </si>
  <si>
    <t>ACEITE SOYA - FR3</t>
  </si>
  <si>
    <t>ACEITE GIRASOL</t>
  </si>
  <si>
    <t>• No aplica el analisis de compuestos de furanos en el fluido aislante FR3.</t>
  </si>
  <si>
    <t>IEC60422:2013</t>
  </si>
  <si>
    <t>ANALISIS   FISICOQUIMICO</t>
  </si>
  <si>
    <t>ACEITE NUEVO</t>
  </si>
  <si>
    <t>NUEVO EN TRAFO</t>
  </si>
  <si>
    <t>NORMA</t>
  </si>
  <si>
    <t>IEC60296</t>
  </si>
  <si>
    <t>&lt;72,5KV</t>
  </si>
  <si>
    <t xml:space="preserve"> 72,5 a 170 KV</t>
  </si>
  <si>
    <t>&gt; 170 KV</t>
  </si>
  <si>
    <r>
      <rPr>
        <rFont val="Calibri"/>
        <color theme="1"/>
        <sz val="11.0"/>
      </rPr>
      <t>≤</t>
    </r>
    <r>
      <rPr>
        <rFont val="Calibri"/>
        <color theme="1"/>
        <sz val="11.0"/>
      </rPr>
      <t>72,5KV</t>
    </r>
  </si>
  <si>
    <t xml:space="preserve"> &gt; 72,5 KV</t>
  </si>
  <si>
    <t>IEC62021-1 Y -2</t>
  </si>
  <si>
    <t>0.01 mgKOH/g</t>
  </si>
  <si>
    <t xml:space="preserve">Máx. 0,03 </t>
  </si>
  <si>
    <t xml:space="preserve">Max. 0,03 </t>
  </si>
  <si>
    <t>Max. 0,03</t>
  </si>
  <si>
    <t>&lt;0.15</t>
  </si>
  <si>
    <t>FACTOR POTENCIA 90°C (max)</t>
  </si>
  <si>
    <t>IEC 60247</t>
  </si>
  <si>
    <t xml:space="preserve">Max. 0,015 </t>
  </si>
  <si>
    <t>Max. 0,010</t>
  </si>
  <si>
    <t>&lt;0.10</t>
  </si>
  <si>
    <t>30 KV</t>
  </si>
  <si>
    <t>&gt; 55</t>
  </si>
  <si>
    <t>&gt; 60</t>
  </si>
  <si>
    <t>&lt;30</t>
  </si>
  <si>
    <t>&lt;40</t>
  </si>
  <si>
    <t>ASTM D971</t>
  </si>
  <si>
    <t xml:space="preserve">mín. 35 </t>
  </si>
  <si>
    <t xml:space="preserve">min. 35 </t>
  </si>
  <si>
    <t>min. 35</t>
  </si>
  <si>
    <t>&gt;28</t>
  </si>
  <si>
    <t>inhibido</t>
  </si>
  <si>
    <t>&gt;25</t>
  </si>
  <si>
    <t>no inhibido</t>
  </si>
  <si>
    <t>contenido agua (max)</t>
  </si>
  <si>
    <t>IEC60814 &lt;&gt; ASTM1533</t>
  </si>
  <si>
    <t>40 mg/Kg</t>
  </si>
  <si>
    <t xml:space="preserve"> &lt;10 </t>
  </si>
  <si>
    <t>&lt;10</t>
  </si>
  <si>
    <t>ISO 2049</t>
  </si>
  <si>
    <t xml:space="preserve">Claro libre de sedimentos y partículas suspendidas </t>
  </si>
  <si>
    <t>Claro y sin visibilidad
contaminación</t>
  </si>
  <si>
    <t>IEC62535 / ASTM D1275</t>
  </si>
  <si>
    <t>NO CORROSIVO</t>
  </si>
  <si>
    <t>no corrosivo</t>
  </si>
  <si>
    <t>IEC62697</t>
  </si>
  <si>
    <t>ND &lt;5mg/Kg</t>
  </si>
  <si>
    <t>&lt;5</t>
  </si>
  <si>
    <t>DENSIDAD 20°C (max)</t>
  </si>
  <si>
    <t>ISO 12185 /3675</t>
  </si>
  <si>
    <t>0.895 g/mL</t>
  </si>
  <si>
    <t>VISCOSIDAD (40°C) (max)</t>
  </si>
  <si>
    <t>ISO 3104</t>
  </si>
  <si>
    <t>3.5 mm2/s</t>
  </si>
  <si>
    <t>PCB</t>
  </si>
  <si>
    <t>IEC 61619</t>
  </si>
  <si>
    <t>ND &lt;2mg/Kg</t>
  </si>
  <si>
    <t>No detectable (&lt;2 mg / kg en total)</t>
  </si>
  <si>
    <t>Color</t>
  </si>
  <si>
    <t xml:space="preserve">Máx. 2,0 </t>
  </si>
  <si>
    <t xml:space="preserve">máx. 2,0 </t>
  </si>
  <si>
    <t>máx. 2,0</t>
  </si>
  <si>
    <t xml:space="preserve">Resistividad a 90 ° C (GΩ × m) </t>
  </si>
  <si>
    <t xml:space="preserve">mín. 60 </t>
  </si>
  <si>
    <t xml:space="preserve">min. 60 </t>
  </si>
  <si>
    <t>min. 60</t>
  </si>
  <si>
    <t>&gt;3</t>
  </si>
  <si>
    <t>Partículas</t>
  </si>
  <si>
    <t>IEC 60970</t>
  </si>
  <si>
    <r>
      <rPr>
        <rFont val="Calibri"/>
        <color theme="1"/>
        <sz val="11.0"/>
      </rPr>
      <t xml:space="preserve">Ver tabla B.1 </t>
    </r>
    <r>
      <rPr>
        <rFont val="Calibri"/>
        <color theme="1"/>
        <sz val="11.0"/>
        <vertAlign val="superscript"/>
      </rPr>
      <t>d</t>
    </r>
  </si>
  <si>
    <t>Inhibidor</t>
  </si>
  <si>
    <t>&lt;60% del vaLor original</t>
  </si>
  <si>
    <t>IEEE2271-100 6.102.9.3"No se pueden dar criterios para el nivel aceptable de degradación para el aislamiento del fluido (gas, petróleo, aire, etc.) ya que su resistencia requerida está vinculada a los criterios de diseño de cada tipo individual de interruptor automático".</t>
  </si>
  <si>
    <t>6.102.9.5 Reacondicionamiento después de un servicio de prueba de cortocircuito y otras series de prueba
Puede ser necesario llevar a cabo trabajos de mantenimiento en el interruptor automático después de realizar un ensayo de cortocircuito u otras series de prueba para restaurarlo a la condición original especificada por el fabricante. Por ejemplo, puede ser necesario
a) reparar o reemplazar los contactos de arco y cualquier otra parte renovable recomendada por el fabricante;
b) renovar o filtrar el aceite, o cualquier otro medio de extinción, y agregar cualquier cantidad del medio necesario para restaurar su nivel o densidad normal;
c) eliminar el depósito, causado por la descomposición del medio de extinción, del aislamiento interno.
Un interruptor de clase E2 no deberá reacondicionarse durante las tareas de prueba de cortocircuito básicas, indicadas en 6.106.</t>
  </si>
  <si>
    <t>IEC 60422:2013</t>
  </si>
  <si>
    <t>Categoría O- Transformadores de potencia / reactores con una tensión de sistema nominal de 400 kV y superior</t>
  </si>
  <si>
    <t>Categoría A - Transformadores de potencia / reactores con una tensión nominal del sistema superior a 170 kV e inferior a 400 kV. También transformadores de potencia de cualquier voltaje nominal donde la continuidad del suministro es vital y equipos similares para aplicaciones especiales que operan bajo condición onerosa.</t>
  </si>
  <si>
    <t>Categoría B - Transformadores / reactores de potencia con una tensión nominal del sistema superior a 72,5 kV y hasta e incluyendo 170 kV (distintos de los de la Categoría A)</t>
  </si>
  <si>
    <t>Categoría C - Transformadores de potencia / reactores para aplicaciones de MV / LV, p. tensiones nominales del sistema de hasta 72,5 kV e inclusive transformadores de tracción (distintos de los de la Categoría A).</t>
  </si>
  <si>
    <t>breakers (Interruptores) con aceite con una tensión nominal del sistema superior a 72,5 kV.</t>
  </si>
  <si>
    <t>OLTC llenos de aceite, a.c. Dispositivo de distribución y equipo de control con carcasa metálica con una tensión nominal del sistema superior o igual a 16 kV</t>
  </si>
  <si>
    <t>Categoría D - Instrumentos / Transformadores de protección con una tensión nominal del sistema superior a 170 kV</t>
  </si>
  <si>
    <t>Categoría E -  Instrumentos / Transformadores de protección con un voltaje de sistema nominal de hasta 170 kV inclusive</t>
  </si>
  <si>
    <t>Categoría F - Tanques de desviación de cambiadores de tomas en carga, incluidos tanques combinadores / desviadores combinados</t>
  </si>
  <si>
    <t>Categoría G - Interruptores con relleno de aceite con una tensión nominal del sistema de hasta 72,5 kV inclusive.</t>
  </si>
  <si>
    <t>Interruptores llenos de aceite, a.c. Dispositivo de distribución y equipo de control con carcasa metálica con una tensión nominal del sistema inferior a 16 kV</t>
  </si>
  <si>
    <t>NOTA 1 Los depósitos selectores separados de cambiadores de tomas en carga pertenecen a la misma categoría que el transformador asociado.</t>
  </si>
  <si>
    <t>NOTA 2 Los casquillos de papel impregnados con aceite y otros equipos herméticamente sellados pueden colocarse en la Categoría D o E si se desea un programa de monitoreo de rutina. Se deben consultar las instrucciones del fabricante.</t>
  </si>
  <si>
    <t>NOTA 3 Independientemente del tamaño o voltaje, una evaluación de riesgos puede justificar las técnicas de monitoreo de condiciones generalmente apropiadas para una clasificación más alta.</t>
  </si>
  <si>
    <t>NOTA 4 Por razones prácticas y económicas, algunas empresas eléctricas pueden decidir que sus pequeños transformadores de hasta 1 MVA y 36 kV no están incluidos en esta clasificación. Los programas de monitoreo de rutina pueden no ser considerados económicos para este tipo de equipo. Cuando se requiere un programa de monitoreo para estos transformadores, las pautas dadas para la categoría C deberían ser adecuadas.</t>
  </si>
  <si>
    <t>Tabla 3 - Límites recomendados para aceites minerales aislantes después del llenado en un nuevo equipo eléctrico antes de la energización</t>
  </si>
  <si>
    <t xml:space="preserve">Propiedad </t>
  </si>
  <si>
    <t>Apariencia</t>
  </si>
  <si>
    <t>Claro, libre de sedimentos y materia en suspensión</t>
  </si>
  <si>
    <t xml:space="preserve">Color (en la escala indicada en ISO 2049) </t>
  </si>
  <si>
    <t>Voltaje de ruptura (kV)</t>
  </si>
  <si>
    <t>IEC 60156</t>
  </si>
  <si>
    <r>
      <rPr>
        <rFont val="Calibri"/>
        <color theme="1"/>
        <sz val="11.0"/>
      </rPr>
      <t xml:space="preserve">Contenido de agua (mg / kg) </t>
    </r>
    <r>
      <rPr>
        <rFont val="Calibri"/>
        <color theme="1"/>
        <sz val="11.0"/>
        <vertAlign val="superscript"/>
      </rPr>
      <t xml:space="preserve">a </t>
    </r>
  </si>
  <si>
    <t>IEC 60814</t>
  </si>
  <si>
    <r>
      <rPr>
        <rFont val="Calibri"/>
        <color theme="1"/>
        <sz val="11.0"/>
      </rPr>
      <t xml:space="preserve">20 </t>
    </r>
    <r>
      <rPr>
        <rFont val="Calibri"/>
        <color theme="1"/>
        <sz val="11.0"/>
        <vertAlign val="superscript"/>
      </rPr>
      <t>b</t>
    </r>
  </si>
  <si>
    <t xml:space="preserve">Acidez (mg KOH / g) </t>
  </si>
  <si>
    <t>IEC 62021-1 or
IEC 62021-2</t>
  </si>
  <si>
    <t>Factor de disipación dieléctrica a 90 ° C y 40 Hz a 60 Hz c</t>
  </si>
  <si>
    <t xml:space="preserve">Azufre corrosivo </t>
  </si>
  <si>
    <t>IEC 62535
ASTM D1275, Method B
DIN 51353</t>
  </si>
  <si>
    <t>No corrosivo</t>
  </si>
  <si>
    <t xml:space="preserve">Contenido de DBDS (mg / kg) </t>
  </si>
  <si>
    <t>IEC 62697-1</t>
  </si>
  <si>
    <t xml:space="preserve">Tensión interfacial (mN / m) </t>
  </si>
  <si>
    <t>ASTM D971
EN 14210</t>
  </si>
  <si>
    <t xml:space="preserve">Contenido total de PCB (mg / kg) </t>
  </si>
  <si>
    <t xml:space="preserve"> - </t>
  </si>
  <si>
    <r>
      <rPr>
        <rFont val="Calibri"/>
        <color theme="1"/>
        <sz val="11.0"/>
      </rPr>
      <t xml:space="preserve">Ver tabla B.1 </t>
    </r>
    <r>
      <rPr>
        <rFont val="Calibri"/>
        <color theme="1"/>
        <sz val="11.0"/>
        <vertAlign val="superscript"/>
      </rPr>
      <t>d</t>
    </r>
  </si>
  <si>
    <t>a Los valores no se corrigen para la temperatura ya que no ha transcurrido el tiempo suficiente para alcanzar un equilibrio entre el aislamiento de aceite y celulosa.</t>
  </si>
  <si>
    <t>b Para uso en transformadores de clase de 72,5 kV, el contenido máximo de agua debe acordarse entre el proveedor y el usuario, dependiendo de las circunstancias locales.</t>
  </si>
  <si>
    <t>c Los valores más altos del factor de disipación dieléctrica pueden indicar una contaminación excesiva, o la aplicación incorrecta de materiales sólidos utilizados en la fabricación, y deben investigarse.</t>
  </si>
  <si>
    <t>d Se debe realizar una determinación del tamaño y la cantidad de partículas como referencia para futuras comparaciones en transformadores&gt; 170 kV.</t>
  </si>
  <si>
    <t>Densidad</t>
  </si>
  <si>
    <t>ISO 3675</t>
  </si>
  <si>
    <r>
      <rPr>
        <rFont val="Calibri"/>
        <b/>
        <color theme="1"/>
        <sz val="11.0"/>
      </rPr>
      <t xml:space="preserve">Tabla 4 - Frecuencia recomendada de ensayos </t>
    </r>
    <r>
      <rPr>
        <rFont val="Calibri"/>
        <b/>
        <color theme="1"/>
        <sz val="11.0"/>
        <vertAlign val="superscript"/>
      </rPr>
      <t>a</t>
    </r>
  </si>
  <si>
    <r>
      <rPr>
        <rFont val="Calibri"/>
        <color theme="1"/>
        <sz val="11.0"/>
      </rPr>
      <t xml:space="preserve">Propiedad </t>
    </r>
    <r>
      <rPr>
        <rFont val="Calibri"/>
        <color theme="1"/>
        <sz val="11.0"/>
        <vertAlign val="superscript"/>
      </rPr>
      <t>b</t>
    </r>
  </si>
  <si>
    <r>
      <rPr>
        <rFont val="Calibri"/>
        <color theme="1"/>
        <sz val="11.0"/>
      </rPr>
      <t xml:space="preserve">Categoría de equipamiento </t>
    </r>
    <r>
      <rPr>
        <rFont val="Calibri"/>
        <color theme="1"/>
        <sz val="11.0"/>
        <vertAlign val="superscript"/>
      </rPr>
      <t>c</t>
    </r>
  </si>
  <si>
    <t xml:space="preserve">O </t>
  </si>
  <si>
    <t xml:space="preserve">A </t>
  </si>
  <si>
    <t xml:space="preserve">B </t>
  </si>
  <si>
    <r>
      <rPr>
        <rFont val="Calibri"/>
        <color theme="1"/>
        <sz val="11.0"/>
      </rPr>
      <t xml:space="preserve">C </t>
    </r>
    <r>
      <rPr>
        <rFont val="Calibri"/>
        <color theme="1"/>
        <sz val="11.0"/>
        <vertAlign val="superscript"/>
      </rPr>
      <t xml:space="preserve">d </t>
    </r>
  </si>
  <si>
    <r>
      <rPr>
        <rFont val="Calibri"/>
        <b/>
        <color theme="1"/>
        <sz val="11.0"/>
      </rPr>
      <t xml:space="preserve">D </t>
    </r>
    <r>
      <rPr>
        <rFont val="Calibri"/>
        <b/>
        <color theme="1"/>
        <sz val="11.0"/>
        <vertAlign val="superscript"/>
      </rPr>
      <t xml:space="preserve">e </t>
    </r>
  </si>
  <si>
    <r>
      <rPr>
        <rFont val="Calibri"/>
        <b/>
        <color theme="1"/>
        <sz val="11.0"/>
      </rPr>
      <t xml:space="preserve">E </t>
    </r>
    <r>
      <rPr>
        <rFont val="Calibri"/>
        <b/>
        <color theme="1"/>
        <sz val="11.0"/>
        <vertAlign val="superscript"/>
      </rPr>
      <t xml:space="preserve">e </t>
    </r>
  </si>
  <si>
    <t>F</t>
  </si>
  <si>
    <t xml:space="preserve"> G</t>
  </si>
  <si>
    <r>
      <rPr>
        <rFont val="Calibri"/>
        <color theme="1"/>
        <sz val="11.0"/>
      </rPr>
      <t>Grupo 1 (pruebas de rutina)</t>
    </r>
    <r>
      <rPr>
        <rFont val="Calibri"/>
        <color theme="1"/>
        <sz val="11.0"/>
        <vertAlign val="superscript"/>
      </rPr>
      <t xml:space="preserve"> f</t>
    </r>
    <r>
      <rPr>
        <rFont val="Calibri"/>
        <color theme="1"/>
        <sz val="11.0"/>
      </rPr>
      <t xml:space="preserve"> - años </t>
    </r>
  </si>
  <si>
    <t xml:space="preserve">1 a 2 </t>
  </si>
  <si>
    <t xml:space="preserve">1 a 3 </t>
  </si>
  <si>
    <t>1 a 4</t>
  </si>
  <si>
    <t xml:space="preserve"> 2 a 6 </t>
  </si>
  <si>
    <t xml:space="preserve">2 a 6 </t>
  </si>
  <si>
    <t>2 a 6</t>
  </si>
  <si>
    <t xml:space="preserve">Grupo 2 (pruebas complementarias) </t>
  </si>
  <si>
    <t>g</t>
  </si>
  <si>
    <t xml:space="preserve">Grupo 3 (pruebas especiales de investigación) </t>
  </si>
  <si>
    <t>h</t>
  </si>
  <si>
    <t xml:space="preserve">Grupo 3 (contenido pasivador) </t>
  </si>
  <si>
    <t>6 meses o menos, dependiendo de la tasa de disminución y el valor absoluto.</t>
  </si>
  <si>
    <t>a Estos períodos propuestos se refieren a un programa de mantenimiento de rutina normal. Si una o más de las propiedades medidas indica que el aceite está en condiciones buenas o malas o si se observa una tendencia de envejecimiento anormal, estos períodos deben acortarse según la importancia del equipo. Estos períodos también pueden ser</t>
  </si>
  <si>
    <t>acortado en el caso de los aceites contaminados por PCB con el fin de minimizar cualquier posible impacto ambiental causado por el mal funcionamiento del equipo.</t>
  </si>
  <si>
    <t>b Los grupos 1, 2 y 3 se definen en la cláusula 3 y como nota al pie de la tabla 1.</t>
  </si>
  <si>
    <t>c Las categorías de los equipos se definen en la Tabla 2.</t>
  </si>
  <si>
    <t>d Ver 9.2 d).</t>
  </si>
  <si>
    <t>e Categorías D y E. Después de que se haya tomado la primera muestra, el usuario, después de consultar con el fabricante y / o el laboratorio, puede decidir alargar el período de muestreo.</t>
  </si>
  <si>
    <t>f Las pruebas del Grupo 1 deben realizarse después de llenar o rellenar el transformador, antes de la activación.</t>
  </si>
  <si>
    <t>g Estas pruebas se pueden hacer periódicamente, pero con menos frecuencia que las pruebas de rutina. La frecuencia dependerá del tipo de aceite, la edad y el equipo. Las primeras mediciones (de referencia) deben realizarse en equipos nuevos o reacondicionados antes de la activación.</t>
  </si>
  <si>
    <t>h Estas son pruebas muy especiales que solo deben llevarse a cabo bajo circunstancias especiales</t>
  </si>
  <si>
    <t>Tabla 5 - Aplicación e interpretación de pruebas (1 de 4)</t>
  </si>
  <si>
    <t>Propiedad</t>
  </si>
  <si>
    <r>
      <rPr>
        <rFont val="Calibri"/>
        <color theme="1"/>
        <sz val="11.0"/>
      </rPr>
      <t xml:space="preserve">Categoría </t>
    </r>
    <r>
      <rPr>
        <rFont val="Calibri"/>
        <color theme="1"/>
        <sz val="11.0"/>
        <vertAlign val="superscript"/>
      </rPr>
      <t>a</t>
    </r>
  </si>
  <si>
    <t>Límites de acción recomendado</t>
  </si>
  <si>
    <r>
      <rPr>
        <rFont val="Calibri"/>
        <color theme="1"/>
        <sz val="11.0"/>
      </rPr>
      <t xml:space="preserve">Acción sugerida  </t>
    </r>
    <r>
      <rPr>
        <rFont val="Calibri"/>
        <color theme="1"/>
        <sz val="11.0"/>
        <vertAlign val="superscript"/>
      </rPr>
      <t xml:space="preserve">b, c </t>
    </r>
  </si>
  <si>
    <t>Notas</t>
  </si>
  <si>
    <t>Bueno</t>
  </si>
  <si>
    <t>Justo</t>
  </si>
  <si>
    <t>Pobre</t>
  </si>
  <si>
    <t>Color y apariencia
 </t>
  </si>
  <si>
    <t xml:space="preserve"> Todas
</t>
  </si>
  <si>
    <t>Oscuro y / o turbio</t>
  </si>
  <si>
    <t>Según lo dictado por otras pruebas</t>
  </si>
  <si>
    <t>El color oscuro es un síntoma de contaminación química
 o envejecimiento.
La turbidez es un síntoma de un alto contenido de agua</t>
  </si>
  <si>
    <t xml:space="preserve">
Voltaje de ruptura (kV)</t>
  </si>
  <si>
    <t>O,A,D</t>
  </si>
  <si>
    <t>&gt;60</t>
  </si>
  <si>
    <t>50 a 60</t>
  </si>
  <si>
    <t>&lt;50</t>
  </si>
  <si>
    <t>Bueno: continúe con el muestreo normal.
Justo: Muestreo más frecuente. Compruebe otros parámetros, p. agua, contenido de partículas y quizás DDF / resistividad y acidez.
Malo: reacondicione el aceite (vea 11.2) o, como alternativa, si es más económico porque otras pruebas indican envejecimiento severo, reemplace (vea la Cláusula 12) o recupere (vea 11.3) el aceite combinado con los procedimientos de secado posteriores.</t>
  </si>
  <si>
    <t>B,E</t>
  </si>
  <si>
    <t>&gt;50</t>
  </si>
  <si>
    <t>40 a 50</t>
  </si>
  <si>
    <t>C</t>
  </si>
  <si>
    <t>&gt;40</t>
  </si>
  <si>
    <t>30 a 40</t>
  </si>
  <si>
    <t>&lt;30 KV  para OLTC en star-point aplicación</t>
  </si>
  <si>
    <t>&lt;40 KV para OLTC en delta o line-end aplicación</t>
  </si>
  <si>
    <t>G</t>
  </si>
  <si>
    <t>Contenido de agua (mg / kg a la temperatura de funcionamiento del transformador)</t>
  </si>
  <si>
    <t>O,A</t>
  </si>
  <si>
    <t>&lt;15</t>
  </si>
  <si>
    <t>15 a 20</t>
  </si>
  <si>
    <t>&gt;20</t>
  </si>
  <si>
    <t>Bueno: continúe con el muestreo normal.
Justo: Muestreo más frecuente. Verifique otros parámetros, p. voltaje de ruptura, contenido de partículas y quizás DDF / resistividad y acidez.
Malo: Revise la fuente de agua, reacondicione el aceite (vea 11.2) o, alternativamente, si es más económico porque otras pruebas indican envejecimiento severo, reemplace (vea la Cláusula 12) o reclame (vea 11.3) el aceite combinado con los procedimientos de secado subsiguientes, aunque debe tomarse la cantidad de agua que aún se conservará en el aislamiento sólido</t>
  </si>
  <si>
    <t>Los valores de contenido de agua se deben considerar siempre junto con los valores de voltaje de ruptura. En caso de sospecha de un problema de humedad, se recomienda tomar muestras a diferentes temperaturas del equipo.
En el caso de equipos de conmutación sin aislamiento de papel (Categoría F), los valores de voltaje de ruptura son de importancia primordial. Los valores límite listados representan 90% de valores estadísticos y son válidos para las temperaturas de operación del transformador. El equilibrio entre el aislamiento sólido y líquido por debajo de 40 ° C no es confiable y para los transformadores de carga pesada con temperatura del aceite por encima de 70 ° C puede ser útil una implementación del procedimiento de corrección descrito en el Anexo A.</t>
  </si>
  <si>
    <t>B,D</t>
  </si>
  <si>
    <t>&lt;20</t>
  </si>
  <si>
    <t>20 a 30</t>
  </si>
  <si>
    <t>&gt;30</t>
  </si>
  <si>
    <t>C,E</t>
  </si>
  <si>
    <t>Necesaria acción &gt;40</t>
  </si>
  <si>
    <t>No es una prueba de rutina</t>
  </si>
  <si>
    <t>Acidez (mg KOH/gaceite)</t>
  </si>
  <si>
    <t>0.10 a 0.15</t>
  </si>
  <si>
    <t>&gt;0.15</t>
  </si>
  <si>
    <t>Bueno: continúe con el muestreo normal.
Justo: Muestreo más frecuente. Verifique la presencia de sedimentos y lodo. Un aceite inhibido que alcanzó valores razonables posiblemente haya perdido su protección contra la oxidación.
Deficiente: a partir de un valor de 0,15, se puede tomar una decisión en qué punto reclamar el aceite (ver 11.3) o, alternativamente, si pruebas más económicas y de otro tipo indican envejecimiento severo, reemplazar el aceite (ver Cláusula 12)</t>
  </si>
  <si>
    <t>0.10 a 0.20</t>
  </si>
  <si>
    <t>&gt;0.20</t>
  </si>
  <si>
    <t>0.15 a 0.30</t>
  </si>
  <si>
    <t>&gt;0.30</t>
  </si>
  <si>
    <t>F,G</t>
  </si>
  <si>
    <t>Factor de disipación eléctrica a 40HZ a 60 HZ a 90°C</t>
  </si>
  <si>
    <t>Bueno: continúe con el muestreo normal.
Justo: Muestreo más frecuente. Ver otros parámetros
Pobre: recuperar aceite (ver 11.3) o, alternativamente, si es más económico porque otras pruebas indican envejecimiento severo, reemplace el aceite (vea la Cláusula 12)</t>
  </si>
  <si>
    <t>B,C</t>
  </si>
  <si>
    <t>0.10 a 0.50</t>
  </si>
  <si>
    <t>&gt;0.50</t>
  </si>
  <si>
    <t>D</t>
  </si>
  <si>
    <t>&lt;0.01</t>
  </si>
  <si>
    <t>0.01 a 0.03</t>
  </si>
  <si>
    <t>&gt;0.03</t>
  </si>
  <si>
    <t>Consulte las mejores prácticas del fabricante</t>
  </si>
  <si>
    <t>E</t>
  </si>
  <si>
    <t>0.10 a 0.30</t>
  </si>
  <si>
    <t>Resistividad (G M</t>
  </si>
  <si>
    <t xml:space="preserve"> A 20°C</t>
  </si>
  <si>
    <t>Bueno: continúe con el muestreo normal.
Justo: Muestreo más frecuente. Ver otros parámetros
Malo: Recupere el aceite (vea 11.3) o alternativamente, si es más económico porque otras pruebas indican un envejecimiento severo, reemplace el aceite (vea la Cláusula 12)</t>
  </si>
  <si>
    <t>&gt;200</t>
  </si>
  <si>
    <t>20 a 200</t>
  </si>
  <si>
    <t>4 a 60</t>
  </si>
  <si>
    <t>&lt;4</t>
  </si>
  <si>
    <t>&gt;800</t>
  </si>
  <si>
    <t>250 a 800</t>
  </si>
  <si>
    <t>&lt;250</t>
  </si>
  <si>
    <t>7 a 60</t>
  </si>
  <si>
    <t>&lt;7</t>
  </si>
  <si>
    <t>A 90°C</t>
  </si>
  <si>
    <t>&gt;10</t>
  </si>
  <si>
    <t>3 a 10</t>
  </si>
  <si>
    <t>&lt;3</t>
  </si>
  <si>
    <t>0.2 a 3</t>
  </si>
  <si>
    <t>&lt;0.2</t>
  </si>
  <si>
    <t>10 a 50</t>
  </si>
  <si>
    <t>0.4 a 3</t>
  </si>
  <si>
    <t>&lt;0.4</t>
  </si>
  <si>
    <t>Contenido de inhibidor</t>
  </si>
  <si>
    <t>todas</t>
  </si>
  <si>
    <t>&lt;60% del vaor original</t>
  </si>
  <si>
    <t>40 a 60% del valor original</t>
  </si>
  <si>
    <t>&lt;40% del valor original</t>
  </si>
  <si>
    <t>Bueno: ninguna acción requiere si no está indicada por otras propiedades.
Justo: (donde la acidez es &lt;0,08 mg KOH / gy la IFT&gt; 28 mN / m). Considere volver a la inhibición al nivel original de la línea de base en función de la experiencia local.
Malo: Continúe usando y controlando como aceite desinhibido, reclame (vea 11.3) o cambie el aceite (vea la Cláusula 12)</t>
  </si>
  <si>
    <t>Restringido a aceites inhibidos
Consulte al proveedor de aceite</t>
  </si>
  <si>
    <t>Contenido de Pasivador (mg/Kg)</t>
  </si>
  <si>
    <t>O,A,B,C,D,E,F</t>
  </si>
  <si>
    <t>&gt;70 y estable (velocidad de decrecimiento &lt;10mg/Kg año)</t>
  </si>
  <si>
    <t>50-70mg/kg o &lt;70mg/kg con un significativo velocidad de decrecimiento de &gt;10mg/kg/año</t>
  </si>
  <si>
    <t>&lt;50 y decrecimiento a &gt;10 mg/kg/año</t>
  </si>
  <si>
    <t>Bueno: menos monitoreo frecuente aceptable.
Justo: mantener un control regular.
Deficiente: elimine la fuente de corrosividad cambiando el aceite (vea la Cláusula 12) o eliminando los compuestos corrosivos mediante tratamientos de aceite adecuados, o como una solución a corto plazo, rellene con un pasivador nuevo, hasta al menos 100 mg / kg (consulte Cláusula 13)</t>
  </si>
  <si>
    <t>El aceite envejecido, especialmente el desinhibido, corre un mayor riesgo de agotamiento rápido del pasivador</t>
  </si>
  <si>
    <t>Sedimentos y lodos (%)</t>
  </si>
  <si>
    <t>Sin sedimentos ni sedimentos precipitables. Los resultados por debajo del 0,02% en masa pueden descuidarse</t>
  </si>
  <si>
    <t>Donde se detecta sedimento, reacondicione el aceite (11.2).
Cuando se detecta lodo precipitable, recuperar aceite (ver 11.3).
De forma alternativa, si lo determinan más económicos u otras pruebas, reemplace el aceite (vea la Cláusula 12).</t>
  </si>
  <si>
    <t>No es una prueba de rutina. Realice solo cuando los valores de acidez y factor de disipación estén cerca de los límites</t>
  </si>
  <si>
    <t>Tensión Interfacial (mN/m)</t>
  </si>
  <si>
    <t>Bueno: continúe con el muestreo normal.
Justo: Muestreo más frecuente.
Deficiente: verificar la presencia de sedimentos y lodos</t>
  </si>
  <si>
    <t>No es una prueba de rutina. Se puede hacer como se desee</t>
  </si>
  <si>
    <t xml:space="preserve"> INHIBIDO </t>
  </si>
  <si>
    <t>22 A 28</t>
  </si>
  <si>
    <t>&lt;22</t>
  </si>
  <si>
    <t xml:space="preserve"> NO INHIBIDO</t>
  </si>
  <si>
    <t>20 A 25</t>
  </si>
  <si>
    <t>NO APLICABLE</t>
  </si>
  <si>
    <t>Azufre Corrosivo</t>
  </si>
  <si>
    <t>Para aceite corrosivo:
- realizar una evaluación de riesgos
- reducir la corrosividad del aceite mediante la adición de un pasivador de cobre (por ejemplo, derivados de triazol) o
- eliminar la fuente de corrosividad cambiando el aceite (ver Cláusula 12) o quitando
compuestos corrosivos por medio de tratamientos de aceites adecuados.
Ver d</t>
  </si>
  <si>
    <t>La necesidad de acciones correctivas debe evaluarse cuidadosamente sobre la base de un estudio de evaluación de riesgos (folleto CIGRÉ n. ° 378, 2009 [5].
Después de la pasivación del aceite, monitorear regularmente la concentración del
pasivador es necesario.
En caso de agotamiento continuo de la concentración del pasivador eliminar
la causa de la corrosividad de acuerdo con las acciones recomendadas</t>
  </si>
  <si>
    <t>Paticulas(conteo y tamaño)</t>
  </si>
  <si>
    <t>Ver tabla 9</t>
  </si>
  <si>
    <t>Si el voltaje de ruptura y el contenido de agua están cerca o fuera del límite para la categoría de equipo apropiada y el número de partículas es mayor que los límites para cualquiera de los rangos de tamaño, filtre el aceite (consulte 11.2)</t>
  </si>
  <si>
    <t>Los valores de partículas se basan en la evaluación estadística (Tabla 9).
Ver e</t>
  </si>
  <si>
    <t>Punto destello (flash point)</t>
  </si>
  <si>
    <t>all</t>
  </si>
  <si>
    <t>Maximo decresimiento 10%</t>
  </si>
  <si>
    <t>El equipo puede requerir una inspección. Investigar</t>
  </si>
  <si>
    <t>No es una prueba de rutina. Puede requerirse cuando se nota un olor inusual, cuando
falla interna o cuando se rellena un transformador.
En algunos países, la legislación de salud y seguridad puede impedir un límite superior</t>
  </si>
  <si>
    <t>pcb</t>
  </si>
  <si>
    <t>ver nota 5.16</t>
  </si>
  <si>
    <t>See 11.4 and 12.3</t>
  </si>
  <si>
    <t xml:space="preserve"> See 5.16</t>
  </si>
  <si>
    <t>a. Categoría de equipamiento (ver Tabla 2).
b Asegurar que el muestreo se realizó correctamente, la válvula de muestreo se limpió adecuadamente antes del muestreo (Cláusula 6) y los períodos de transporte y almacenamiento en el laboratorio fueron cortos.
c No se debe tomar ninguna acción sobre la base de un resultado y una propiedad. Todos los resultados se confirmarán con una muestra repetida, especialmente si el resultado parece anormal en comparación con la tendencia de los resultados anteriores obtenidos.
d Si la prueba de corrosividad del aceite es positiva y el DBDS está presente, siga las recomendaciones del Folleto 378: 2009 de CIGRÉ [3] para las medidas de mitigación apropiadas.
e Si hay una tendencia a que las partículas aumenten, puede ser necesario hacer una determinación de los metales y otros elementos disueltos en el aceite (ver Tabla B.1).</t>
  </si>
  <si>
    <t>Tabla 6 - Resumen de acciones típicas</t>
  </si>
  <si>
    <t xml:space="preserve">Factores clave </t>
  </si>
  <si>
    <t xml:space="preserve">Síntomas </t>
  </si>
  <si>
    <t>Acciones correctivas</t>
  </si>
  <si>
    <t>FISICOS</t>
  </si>
  <si>
    <t>alto contenido de agua</t>
  </si>
  <si>
    <t>Reacondicionamiento (ver 11.2)</t>
  </si>
  <si>
    <t>Bajo voltaje de ruptura</t>
  </si>
  <si>
    <t>Alto contenido de partículas</t>
  </si>
  <si>
    <t>Turbio (no claro)</t>
  </si>
  <si>
    <t>QUIMICOS</t>
  </si>
  <si>
    <t>Alto valor de color</t>
  </si>
  <si>
    <t>Regenere (ver 11.3): o Cambie el aceite (vea la Cláusula 13)</t>
  </si>
  <si>
    <t>Bajo IFT</t>
  </si>
  <si>
    <t>Alto valor de acidez</t>
  </si>
  <si>
    <t>Alto valor del factor de disipación</t>
  </si>
  <si>
    <t>Presencia de sedimentos o lodo, o ambos</t>
  </si>
  <si>
    <t>Bajo contenido de inhibidor, para aceite inhibido</t>
  </si>
  <si>
    <t>Restaure la concentración aditiva original de acuerdo con las recomendaciones en Tabla 5</t>
  </si>
  <si>
    <t>Contenido bajo de pasivador en el aceite</t>
  </si>
  <si>
    <t xml:space="preserve">Contaminación de PCB  detectable </t>
  </si>
  <si>
    <t>Consulte las reglamentaciones locales (consulte 11.4)</t>
  </si>
  <si>
    <t xml:space="preserve">Corrosividad del aceite </t>
  </si>
  <si>
    <t>Realice una evaluación de riesgos y corrija como sea necesario:</t>
  </si>
  <si>
    <t>- pasivación (véase la cláusula 13)</t>
  </si>
  <si>
    <t>- cambio de aceite (ver Cláusula 12)</t>
  </si>
  <si>
    <t>- Regenerar (ver 11.3)</t>
  </si>
  <si>
    <t>NOTA 1 En algunos casos, si la contaminación química es extremadamente alta, puede ser más económico reemplazarla</t>
  </si>
  <si>
    <t>el aceite. Se recomienda una prueba de viabilidad de recuperación (ver 11.3.3).</t>
  </si>
  <si>
    <t>NOTA 2 Cuanto más viejo es el aceite en el momento de la pasivación, y cuanto más severas sean las condiciones de operación,</t>
  </si>
  <si>
    <t>mayor es el riesgo de que la pasivación no sea un remedio suficiente a largo plazo. Un esquema más detallado para tratar con</t>
  </si>
  <si>
    <t>la corrosión corrosiva y la formación de sulfuro de cobre se propone en CIGRÉ, Folleto no. 378, 2009 [5].</t>
  </si>
  <si>
    <t>• Los resultados obtenidos de las pruebas de índice de neutralización (acidez), pérdidas dieléctricas, rigidez dieléctrica (24°C)  y contenido de agua están dentro de los valores recomendados por la Norma ASTM D6871.</t>
  </si>
  <si>
    <t>ANALISIS   FISICOQUIMICO ASTM D6871</t>
  </si>
  <si>
    <t>ACEITE</t>
  </si>
  <si>
    <t>PERDIDAS (max)</t>
  </si>
  <si>
    <t>25°C</t>
  </si>
  <si>
    <t>90°C</t>
  </si>
  <si>
    <t>100°C</t>
  </si>
  <si>
    <t>analisis</t>
  </si>
  <si>
    <t>horas</t>
  </si>
  <si>
    <t>costo $</t>
  </si>
  <si>
    <t>VISUAL (max)</t>
  </si>
  <si>
    <t>claro, limpio</t>
  </si>
  <si>
    <t>fisicoquimicos</t>
  </si>
  <si>
    <t>cromatograficos</t>
  </si>
  <si>
    <t xml:space="preserve">furanos </t>
  </si>
  <si>
    <t>metales</t>
  </si>
  <si>
    <t>HH terceros</t>
  </si>
  <si>
    <t>TOTAL</t>
  </si>
  <si>
    <t>INHIBIDOR ACEITE TIPO II</t>
  </si>
  <si>
    <t>OTRO</t>
  </si>
  <si>
    <t>vegetal</t>
  </si>
  <si>
    <t>IEEEC57.155</t>
  </si>
  <si>
    <t>CR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</si>
</sst>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00000"/>
    <numFmt numFmtId="166" formatCode="0.000"/>
    <numFmt numFmtId="167" formatCode="&quot;S/&quot;\ #,##0.00;[Red]&quot;S/&quot;\ \-#,##0.00"/>
  </numFmts>
  <fonts count="20">
    <font>
      <sz val="11.0"/>
      <color theme="1"/>
      <name val="Calibri"/>
      <scheme val="minor"/>
    </font>
    <font>
      <color theme="1"/>
      <name val="Calibri"/>
      <scheme val="minor"/>
    </font>
    <font>
      <sz val="11.0"/>
      <color theme="1"/>
      <name val="Calibri"/>
    </font>
    <font>
      <b/>
      <sz val="11.0"/>
      <color theme="1"/>
      <name val="Calibri"/>
    </font>
    <font/>
    <font>
      <sz val="8.0"/>
      <color theme="1"/>
      <name val="Calibri"/>
    </font>
    <font>
      <b/>
      <sz val="8.0"/>
      <color theme="1"/>
      <name val="Calibri"/>
    </font>
    <font>
      <sz val="10.0"/>
      <color theme="1"/>
      <name val="Calibri"/>
    </font>
    <font>
      <b/>
      <sz val="10.0"/>
      <color theme="1"/>
      <name val="Calibri"/>
    </font>
    <font>
      <sz val="9.0"/>
      <color theme="1"/>
      <name val="Calibri"/>
    </font>
    <font>
      <sz val="12.0"/>
      <color theme="1"/>
      <name val="Calibri"/>
    </font>
    <font>
      <b/>
      <sz val="10.0"/>
      <color theme="1"/>
      <name val="Arial"/>
    </font>
    <font>
      <b/>
      <sz val="10.0"/>
      <color rgb="FF0000FF"/>
      <name val="Arial"/>
    </font>
    <font>
      <b/>
      <sz val="14.0"/>
      <color theme="1"/>
      <name val="Arial"/>
    </font>
    <font>
      <i/>
      <sz val="10.0"/>
      <color theme="1"/>
      <name val="Arial"/>
    </font>
    <font>
      <sz val="11.0"/>
      <color theme="1"/>
      <name val="Arial"/>
    </font>
    <font>
      <b/>
      <sz val="14.0"/>
      <color rgb="FF0070C0"/>
      <name val="Arial"/>
    </font>
    <font>
      <b/>
      <sz val="9.0"/>
      <color theme="1"/>
      <name val="Calibri"/>
    </font>
    <font>
      <i/>
      <sz val="9.0"/>
      <color theme="1"/>
      <name val="Times New Roman"/>
    </font>
    <font>
      <sz val="10.0"/>
      <color theme="1"/>
      <name val="Noto Sans Symbols"/>
    </font>
  </fonts>
  <fills count="28">
    <fill>
      <patternFill patternType="none"/>
    </fill>
    <fill>
      <patternFill patternType="lightGray"/>
    </fill>
    <fill>
      <patternFill patternType="solid">
        <fgColor rgb="FFD8D8D8"/>
        <bgColor rgb="FFD8D8D8"/>
      </patternFill>
    </fill>
    <fill>
      <patternFill patternType="solid">
        <fgColor rgb="FFDEEAF6"/>
        <bgColor rgb="FFDEEAF6"/>
      </patternFill>
    </fill>
    <fill>
      <patternFill patternType="solid">
        <fgColor rgb="FFBDD6EE"/>
        <bgColor rgb="FFBDD6EE"/>
      </patternFill>
    </fill>
    <fill>
      <patternFill patternType="solid">
        <fgColor rgb="FF9CC2E5"/>
        <bgColor rgb="FF9CC2E5"/>
      </patternFill>
    </fill>
    <fill>
      <patternFill patternType="solid">
        <fgColor rgb="FFF4B083"/>
        <bgColor rgb="FFF4B083"/>
      </patternFill>
    </fill>
    <fill>
      <patternFill patternType="solid">
        <fgColor rgb="FFECECEC"/>
        <bgColor rgb="FFECECEC"/>
      </patternFill>
    </fill>
    <fill>
      <patternFill patternType="solid">
        <fgColor rgb="FFC5E0B3"/>
        <bgColor rgb="FFC5E0B3"/>
      </patternFill>
    </fill>
    <fill>
      <patternFill patternType="solid">
        <fgColor rgb="FFFFE598"/>
        <bgColor rgb="FFFFE598"/>
      </patternFill>
    </fill>
    <fill>
      <patternFill patternType="solid">
        <fgColor rgb="FFF7CAAC"/>
        <bgColor rgb="FFF7CAAC"/>
      </patternFill>
    </fill>
    <fill>
      <patternFill patternType="solid">
        <fgColor rgb="FFFFFF00"/>
        <bgColor rgb="FFFFFF00"/>
      </patternFill>
    </fill>
    <fill>
      <patternFill patternType="solid">
        <fgColor rgb="FFA5A5A5"/>
        <bgColor rgb="FFA5A5A5"/>
      </patternFill>
    </fill>
    <fill>
      <patternFill patternType="solid">
        <fgColor rgb="FFFFC000"/>
        <bgColor rgb="FFFFC000"/>
      </patternFill>
    </fill>
    <fill>
      <patternFill patternType="solid">
        <fgColor rgb="FFF2F2F2"/>
        <bgColor rgb="FFF2F2F2"/>
      </patternFill>
    </fill>
    <fill>
      <patternFill patternType="solid">
        <fgColor rgb="FFB4C6E7"/>
        <bgColor rgb="FFB4C6E7"/>
      </patternFill>
    </fill>
    <fill>
      <patternFill patternType="solid">
        <fgColor rgb="FFE2EFD9"/>
        <bgColor rgb="FFE2EFD9"/>
      </patternFill>
    </fill>
    <fill>
      <patternFill patternType="solid">
        <fgColor rgb="FFA8D08D"/>
        <bgColor rgb="FFA8D08D"/>
      </patternFill>
    </fill>
    <fill>
      <patternFill patternType="solid">
        <fgColor rgb="FFBFBFBF"/>
        <bgColor rgb="FFBFBFBF"/>
      </patternFill>
    </fill>
    <fill>
      <patternFill patternType="solid">
        <fgColor rgb="FFFFD965"/>
        <bgColor rgb="FFFFD965"/>
      </patternFill>
    </fill>
    <fill>
      <patternFill patternType="solid">
        <fgColor rgb="FFFBE4D5"/>
        <bgColor rgb="FFFBE4D5"/>
      </patternFill>
    </fill>
    <fill>
      <patternFill patternType="solid">
        <fgColor rgb="FFD9E2F3"/>
        <bgColor rgb="FFD9E2F3"/>
      </patternFill>
    </fill>
    <fill>
      <patternFill patternType="solid">
        <fgColor rgb="FFFFCC00"/>
        <bgColor rgb="FFFFCC00"/>
      </patternFill>
    </fill>
    <fill>
      <patternFill patternType="solid">
        <fgColor rgb="FFAEABAB"/>
        <bgColor rgb="FFAEABAB"/>
      </patternFill>
    </fill>
    <fill>
      <patternFill patternType="solid">
        <fgColor rgb="FFFF66FF"/>
        <bgColor rgb="FFFF66FF"/>
      </patternFill>
    </fill>
    <fill>
      <patternFill patternType="solid">
        <fgColor rgb="FF8EAADB"/>
        <bgColor rgb="FF8EAADB"/>
      </patternFill>
    </fill>
    <fill>
      <patternFill patternType="solid">
        <fgColor rgb="FF2F5496"/>
        <bgColor rgb="FF2F5496"/>
      </patternFill>
    </fill>
    <fill>
      <patternFill patternType="solid">
        <fgColor rgb="FFD6DCE4"/>
        <bgColor rgb="FFD6DCE4"/>
      </patternFill>
    </fill>
  </fills>
  <borders count="47">
    <border/>
    <border>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top/>
      <bottom/>
    </border>
    <border>
      <left style="thin">
        <color rgb="FF000000"/>
      </left>
      <bottom style="thin">
        <color rgb="FF000000"/>
      </bottom>
    </border>
    <border>
      <righ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right/>
      <top style="thin">
        <color rgb="FF000000"/>
      </top>
    </border>
    <border>
      <left/>
      <right/>
    </border>
    <border>
      <left/>
      <right/>
      <bottom/>
    </border>
    <border>
      <left/>
      <top/>
      <bottom/>
    </border>
    <border>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top/>
      <bottom/>
    </border>
    <border>
      <left style="thin">
        <color rgb="FF000000"/>
      </left>
      <right/>
      <top style="thin">
        <color rgb="FF000000"/>
      </top>
    </border>
    <border>
      <left style="thin">
        <color rgb="FF000000"/>
      </left>
      <right/>
      <bottom style="thin">
        <color rgb="FF000000"/>
      </bottom>
    </border>
    <border>
      <left/>
      <right/>
      <top/>
    </border>
    <border>
      <left style="thin">
        <color rgb="FF000000"/>
      </left>
      <right/>
      <top style="thin">
        <color rgb="FF000000"/>
      </top>
      <bottom style="thin">
        <color rgb="FF000000"/>
      </bottom>
    </border>
    <border>
      <left style="thin">
        <color rgb="FF000000"/>
      </left>
      <right/>
      <top style="thin">
        <color rgb="FF000000"/>
      </top>
      <bottom/>
    </border>
    <border>
      <left style="thin">
        <color rgb="FF000000"/>
      </left>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2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xf>
    <xf borderId="1" fillId="0" fontId="3" numFmtId="0" xfId="0" applyAlignment="1" applyBorder="1" applyFont="1">
      <alignment horizontal="left"/>
    </xf>
    <xf borderId="0" fillId="0" fontId="3" numFmtId="0" xfId="0" applyAlignment="1" applyFont="1">
      <alignment horizontal="left"/>
    </xf>
    <xf borderId="1" fillId="0" fontId="2" numFmtId="0" xfId="0" applyAlignment="1" applyBorder="1" applyFont="1">
      <alignment horizontal="left" vertical="center"/>
    </xf>
    <xf borderId="1" fillId="0" fontId="4" numFmtId="0" xfId="0" applyBorder="1" applyFont="1"/>
    <xf borderId="1" fillId="0" fontId="2" numFmtId="0" xfId="0" applyAlignment="1" applyBorder="1" applyFont="1">
      <alignment horizontal="left" shrinkToFit="0" wrapText="1"/>
    </xf>
    <xf borderId="2" fillId="2" fontId="5" numFmtId="0" xfId="0" applyAlignment="1" applyBorder="1" applyFill="1" applyFont="1">
      <alignment horizontal="center" vertical="center"/>
    </xf>
    <xf borderId="2" fillId="2" fontId="5" numFmtId="0" xfId="0" applyAlignment="1" applyBorder="1" applyFont="1">
      <alignment horizontal="center" shrinkToFit="0" vertical="center" wrapText="1"/>
    </xf>
    <xf borderId="3" fillId="2" fontId="5" numFmtId="0" xfId="0" applyAlignment="1" applyBorder="1" applyFont="1">
      <alignment horizontal="center" vertical="center"/>
    </xf>
    <xf borderId="2" fillId="3" fontId="5" numFmtId="0" xfId="0" applyAlignment="1" applyBorder="1" applyFill="1" applyFont="1">
      <alignment horizontal="center" shrinkToFit="0" vertical="center" wrapText="1"/>
    </xf>
    <xf borderId="4" fillId="4" fontId="5" numFmtId="0" xfId="0" applyAlignment="1" applyBorder="1" applyFill="1" applyFont="1">
      <alignment horizontal="center" shrinkToFit="0" vertical="center" wrapText="1"/>
    </xf>
    <xf borderId="5" fillId="0" fontId="4" numFmtId="0" xfId="0" applyBorder="1" applyFont="1"/>
    <xf borderId="6" fillId="0" fontId="4" numFmtId="0" xfId="0" applyBorder="1" applyFont="1"/>
    <xf borderId="4" fillId="5" fontId="6" numFmtId="0" xfId="0" applyAlignment="1" applyBorder="1" applyFill="1" applyFont="1">
      <alignment horizontal="center" shrinkToFit="0" vertical="center" wrapText="1"/>
    </xf>
    <xf borderId="7" fillId="0" fontId="4" numFmtId="0" xfId="0" applyBorder="1" applyFont="1"/>
    <xf borderId="4" fillId="6" fontId="6" numFmtId="0" xfId="0" applyAlignment="1" applyBorder="1" applyFill="1" applyFont="1">
      <alignment horizontal="center" shrinkToFit="0" vertical="center" wrapText="1"/>
    </xf>
    <xf borderId="2" fillId="7" fontId="7" numFmtId="0" xfId="0" applyAlignment="1" applyBorder="1" applyFill="1" applyFont="1">
      <alignment horizontal="center" shrinkToFit="0" vertical="center" wrapText="1"/>
    </xf>
    <xf borderId="2" fillId="8" fontId="5" numFmtId="0" xfId="0" applyAlignment="1" applyBorder="1" applyFill="1" applyFont="1">
      <alignment horizontal="center"/>
    </xf>
    <xf borderId="4" fillId="0" fontId="7" numFmtId="0" xfId="0" applyAlignment="1" applyBorder="1" applyFont="1">
      <alignment horizontal="left" shrinkToFit="0" vertical="center" wrapText="1"/>
    </xf>
    <xf borderId="8" fillId="0" fontId="4" numFmtId="0" xfId="0" applyBorder="1" applyFont="1"/>
    <xf borderId="9" fillId="2" fontId="5"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2" fontId="5" numFmtId="0" xfId="0" applyAlignment="1" applyBorder="1" applyFont="1">
      <alignment horizontal="center" vertical="center"/>
    </xf>
    <xf borderId="17" fillId="4" fontId="5" numFmtId="0" xfId="0" applyAlignment="1" applyBorder="1" applyFont="1">
      <alignment horizontal="center" shrinkToFit="0" vertical="center" wrapText="1"/>
    </xf>
    <xf borderId="17" fillId="5" fontId="6" numFmtId="0" xfId="0" applyAlignment="1" applyBorder="1" applyFont="1">
      <alignment horizontal="center" shrinkToFit="0" vertical="center" wrapText="1"/>
    </xf>
    <xf borderId="17" fillId="6" fontId="6" numFmtId="0" xfId="0" applyAlignment="1" applyBorder="1" applyFont="1">
      <alignment horizontal="center" shrinkToFit="0" vertical="center" wrapText="1"/>
    </xf>
    <xf borderId="17" fillId="2" fontId="5" numFmtId="0" xfId="0" applyAlignment="1" applyBorder="1" applyFont="1">
      <alignment horizontal="center"/>
    </xf>
    <xf borderId="17" fillId="0" fontId="7" numFmtId="0" xfId="0" applyAlignment="1" applyBorder="1" applyFont="1">
      <alignment horizontal="center"/>
    </xf>
    <xf borderId="17" fillId="0" fontId="8" numFmtId="2" xfId="0" applyAlignment="1" applyBorder="1" applyFont="1" applyNumberFormat="1">
      <alignment horizontal="center"/>
    </xf>
    <xf borderId="17" fillId="0" fontId="8" numFmtId="0" xfId="0" applyAlignment="1" applyBorder="1" applyFont="1">
      <alignment horizontal="center"/>
    </xf>
    <xf borderId="2" fillId="9" fontId="5" numFmtId="0" xfId="0" applyAlignment="1" applyBorder="1" applyFill="1" applyFont="1">
      <alignment horizontal="center" vertical="center"/>
    </xf>
    <xf borderId="17" fillId="0" fontId="7" numFmtId="2" xfId="0" applyAlignment="1" applyBorder="1" applyFont="1" applyNumberFormat="1">
      <alignment horizontal="center"/>
    </xf>
    <xf borderId="17" fillId="0" fontId="8" numFmtId="164" xfId="0" applyAlignment="1" applyBorder="1" applyFont="1" applyNumberFormat="1">
      <alignment horizontal="center"/>
    </xf>
    <xf borderId="17" fillId="0" fontId="7" numFmtId="164" xfId="0" applyAlignment="1" applyBorder="1" applyFont="1" applyNumberFormat="1">
      <alignment horizontal="center"/>
    </xf>
    <xf borderId="17" fillId="0" fontId="5" numFmtId="0" xfId="0" applyAlignment="1" applyBorder="1" applyFont="1">
      <alignment horizontal="center"/>
    </xf>
    <xf borderId="2" fillId="10" fontId="5" numFmtId="0" xfId="0" applyAlignment="1" applyBorder="1" applyFill="1" applyFont="1">
      <alignment horizontal="center" shrinkToFit="0" vertical="center" wrapText="1"/>
    </xf>
    <xf borderId="3" fillId="2" fontId="5" numFmtId="0" xfId="0" applyAlignment="1" applyBorder="1" applyFont="1">
      <alignment horizontal="center"/>
    </xf>
    <xf borderId="2" fillId="0" fontId="7" numFmtId="0" xfId="0" applyAlignment="1" applyBorder="1" applyFont="1">
      <alignment horizontal="center"/>
    </xf>
    <xf borderId="2" fillId="0" fontId="8" numFmtId="0" xfId="0" applyAlignment="1" applyBorder="1" applyFont="1">
      <alignment horizontal="center"/>
    </xf>
    <xf borderId="17" fillId="2" fontId="5" numFmtId="0" xfId="0" applyAlignment="1" applyBorder="1" applyFont="1">
      <alignment horizontal="left" shrinkToFit="0" wrapText="1"/>
    </xf>
    <xf borderId="17" fillId="2" fontId="5" numFmtId="0" xfId="0" applyAlignment="1" applyBorder="1" applyFont="1">
      <alignment horizontal="center" shrinkToFit="0" wrapText="1"/>
    </xf>
    <xf borderId="17" fillId="0" fontId="2" numFmtId="0" xfId="0" applyAlignment="1" applyBorder="1" applyFont="1">
      <alignment horizontal="center" vertical="center"/>
    </xf>
    <xf borderId="18" fillId="11" fontId="5" numFmtId="0" xfId="0" applyAlignment="1" applyBorder="1" applyFill="1" applyFont="1">
      <alignment horizontal="center" vertical="center"/>
    </xf>
    <xf borderId="19" fillId="0" fontId="4" numFmtId="0" xfId="0" applyBorder="1" applyFont="1"/>
    <xf borderId="20" fillId="0" fontId="4" numFmtId="0" xfId="0" applyBorder="1" applyFont="1"/>
    <xf borderId="0" fillId="0" fontId="2" numFmtId="0" xfId="0" applyAlignment="1" applyFont="1">
      <alignment shrinkToFit="0" wrapText="1"/>
    </xf>
    <xf borderId="17" fillId="11" fontId="5" numFmtId="0" xfId="0" applyAlignment="1" applyBorder="1" applyFont="1">
      <alignment horizontal="center" shrinkToFit="0" vertical="center" wrapText="1"/>
    </xf>
    <xf borderId="21" fillId="7" fontId="7" numFmtId="0" xfId="0" applyAlignment="1" applyBorder="1" applyFont="1">
      <alignment horizontal="center" shrinkToFit="0" vertical="center" wrapText="1"/>
    </xf>
    <xf borderId="9" fillId="10" fontId="5" numFmtId="0" xfId="0" applyAlignment="1" applyBorder="1" applyFont="1">
      <alignment horizontal="center" shrinkToFit="0" vertical="center" wrapText="1"/>
    </xf>
    <xf borderId="18" fillId="0" fontId="7" numFmtId="0" xfId="0" applyAlignment="1" applyBorder="1" applyFont="1">
      <alignment horizontal="left" shrinkToFit="0" vertical="center" wrapText="1"/>
    </xf>
    <xf borderId="22" fillId="12" fontId="7" numFmtId="0" xfId="0" applyAlignment="1" applyBorder="1" applyFill="1" applyFont="1">
      <alignment horizontal="center" shrinkToFit="0" vertical="center" wrapText="1"/>
    </xf>
    <xf borderId="2" fillId="12" fontId="7" numFmtId="0" xfId="0" applyAlignment="1" applyBorder="1" applyFont="1">
      <alignment horizontal="center" shrinkToFit="0" vertical="center" wrapText="1"/>
    </xf>
    <xf borderId="23" fillId="0" fontId="4" numFmtId="0" xfId="0" applyBorder="1" applyFont="1"/>
    <xf borderId="0" fillId="0" fontId="5" numFmtId="0" xfId="0" applyAlignment="1" applyFont="1">
      <alignment horizontal="center"/>
    </xf>
    <xf borderId="0" fillId="0" fontId="5" numFmtId="0" xfId="0" applyAlignment="1" applyFont="1">
      <alignment horizontal="left"/>
    </xf>
    <xf borderId="24" fillId="0" fontId="4" numFmtId="0" xfId="0" applyBorder="1" applyFont="1"/>
    <xf borderId="0" fillId="0" fontId="7" numFmtId="0" xfId="0" applyFont="1"/>
    <xf borderId="0" fillId="0" fontId="2" numFmtId="0" xfId="0" applyAlignment="1" applyFont="1">
      <alignment horizontal="center"/>
    </xf>
    <xf borderId="10" fillId="0" fontId="7" numFmtId="0" xfId="0" applyAlignment="1" applyBorder="1" applyFont="1">
      <alignment shrinkToFit="0" vertical="center" wrapText="1"/>
    </xf>
    <xf borderId="1" fillId="0" fontId="7" numFmtId="0" xfId="0" applyAlignment="1" applyBorder="1" applyFont="1">
      <alignment shrinkToFit="0" vertical="center" wrapText="1"/>
    </xf>
    <xf borderId="12" fillId="0" fontId="7" numFmtId="0" xfId="0" applyAlignment="1" applyBorder="1" applyFont="1">
      <alignment shrinkToFit="0" vertical="center" wrapText="1"/>
    </xf>
    <xf borderId="0" fillId="0" fontId="7" numFmtId="0" xfId="0" applyAlignment="1" applyFont="1">
      <alignment horizontal="center"/>
    </xf>
    <xf borderId="2" fillId="13" fontId="7" numFmtId="0" xfId="0" applyAlignment="1" applyBorder="1" applyFill="1" applyFont="1">
      <alignment horizontal="center" shrinkToFit="0" vertical="center" wrapText="1"/>
    </xf>
    <xf borderId="2" fillId="8" fontId="9" numFmtId="0" xfId="0" applyAlignment="1" applyBorder="1" applyFont="1">
      <alignment horizontal="center" vertical="center"/>
    </xf>
    <xf borderId="1" fillId="0" fontId="2" numFmtId="0" xfId="0" applyAlignment="1" applyBorder="1" applyFont="1">
      <alignment horizontal="center"/>
    </xf>
    <xf borderId="2" fillId="11" fontId="6" numFmtId="0" xfId="0" applyAlignment="1" applyBorder="1" applyFont="1">
      <alignment horizontal="center" shrinkToFit="0" vertical="center" wrapText="1"/>
    </xf>
    <xf borderId="17" fillId="13" fontId="5" numFmtId="0" xfId="0" applyAlignment="1" applyBorder="1" applyFont="1">
      <alignment horizontal="center" shrinkToFit="0" vertical="center" wrapText="1"/>
    </xf>
    <xf borderId="18" fillId="13" fontId="5" numFmtId="0" xfId="0" applyAlignment="1" applyBorder="1" applyFont="1">
      <alignment horizontal="center" shrinkToFit="0" vertical="center" wrapText="1"/>
    </xf>
    <xf borderId="2" fillId="0" fontId="6" numFmtId="0" xfId="0" applyAlignment="1" applyBorder="1" applyFont="1">
      <alignment horizontal="center" shrinkToFit="0" vertical="center" wrapText="1"/>
    </xf>
    <xf borderId="17" fillId="13" fontId="7" numFmtId="0" xfId="0" applyAlignment="1" applyBorder="1" applyFont="1">
      <alignment horizontal="center"/>
    </xf>
    <xf borderId="18" fillId="13" fontId="5" numFmtId="0" xfId="0" applyAlignment="1" applyBorder="1" applyFont="1">
      <alignment horizontal="center" shrinkToFit="0" wrapText="1"/>
    </xf>
    <xf borderId="9" fillId="13" fontId="7" numFmtId="0" xfId="0" applyAlignment="1" applyBorder="1" applyFont="1">
      <alignment horizontal="center"/>
    </xf>
    <xf borderId="2" fillId="9" fontId="9" numFmtId="0" xfId="0" applyAlignment="1" applyBorder="1" applyFont="1">
      <alignment horizontal="center" vertical="center"/>
    </xf>
    <xf borderId="17" fillId="14" fontId="3" numFmtId="0" xfId="0" applyBorder="1" applyFill="1" applyFont="1"/>
    <xf borderId="17" fillId="14" fontId="2" numFmtId="0" xfId="0" applyAlignment="1" applyBorder="1" applyFont="1">
      <alignment horizontal="center"/>
    </xf>
    <xf borderId="18" fillId="14" fontId="2" numFmtId="0" xfId="0" applyAlignment="1" applyBorder="1" applyFont="1">
      <alignment horizontal="center"/>
    </xf>
    <xf borderId="17" fillId="2" fontId="3" numFmtId="0" xfId="0" applyBorder="1" applyFont="1"/>
    <xf borderId="17" fillId="2" fontId="2" numFmtId="0" xfId="0" applyAlignment="1" applyBorder="1" applyFont="1">
      <alignment horizontal="center"/>
    </xf>
    <xf borderId="18" fillId="2" fontId="2" numFmtId="0" xfId="0" applyAlignment="1" applyBorder="1" applyFont="1">
      <alignment horizontal="center"/>
    </xf>
    <xf borderId="17" fillId="15" fontId="3" numFmtId="0" xfId="0" applyBorder="1" applyFill="1" applyFont="1"/>
    <xf borderId="17" fillId="15" fontId="2" numFmtId="0" xfId="0" applyAlignment="1" applyBorder="1" applyFont="1">
      <alignment horizontal="center"/>
    </xf>
    <xf borderId="18" fillId="15" fontId="2" numFmtId="0" xfId="0" applyAlignment="1" applyBorder="1" applyFont="1">
      <alignment horizontal="center"/>
    </xf>
    <xf borderId="2" fillId="6" fontId="9" numFmtId="0" xfId="0" applyAlignment="1" applyBorder="1" applyFont="1">
      <alignment horizontal="center" shrinkToFit="0" vertical="center" wrapText="1"/>
    </xf>
    <xf borderId="17" fillId="16" fontId="3" numFmtId="0" xfId="0" applyBorder="1" applyFill="1" applyFont="1"/>
    <xf borderId="17" fillId="16" fontId="2" numFmtId="0" xfId="0" applyAlignment="1" applyBorder="1" applyFont="1">
      <alignment horizontal="center"/>
    </xf>
    <xf borderId="18" fillId="16" fontId="2" numFmtId="0" xfId="0" applyAlignment="1" applyBorder="1" applyFont="1">
      <alignment horizontal="center"/>
    </xf>
    <xf borderId="17" fillId="16" fontId="3" numFmtId="0" xfId="0" applyAlignment="1" applyBorder="1" applyFont="1">
      <alignment shrinkToFit="0" wrapText="1"/>
    </xf>
    <xf borderId="17" fillId="0" fontId="2" numFmtId="0" xfId="0" applyBorder="1" applyFont="1"/>
    <xf borderId="18" fillId="0" fontId="2" numFmtId="0" xfId="0" applyAlignment="1" applyBorder="1" applyFont="1">
      <alignment horizontal="center"/>
    </xf>
    <xf borderId="4" fillId="15" fontId="7" numFmtId="0" xfId="0" applyAlignment="1" applyBorder="1" applyFont="1">
      <alignment horizontal="center" shrinkToFit="0" vertical="center" wrapText="1"/>
    </xf>
    <xf borderId="17" fillId="0" fontId="2" numFmtId="0" xfId="0" applyAlignment="1" applyBorder="1" applyFont="1">
      <alignment horizontal="center"/>
    </xf>
    <xf borderId="17" fillId="7" fontId="3" numFmtId="0" xfId="0" applyBorder="1" applyFont="1"/>
    <xf borderId="17" fillId="7" fontId="2" numFmtId="0" xfId="0" applyAlignment="1" applyBorder="1" applyFont="1">
      <alignment horizontal="center"/>
    </xf>
    <xf borderId="18" fillId="7" fontId="2" numFmtId="0" xfId="0" applyAlignment="1" applyBorder="1" applyFont="1">
      <alignment horizontal="center"/>
    </xf>
    <xf borderId="13" fillId="0" fontId="7" numFmtId="0" xfId="0" applyAlignment="1" applyBorder="1" applyFont="1">
      <alignment horizontal="center" shrinkToFit="0" vertical="center" wrapText="1"/>
    </xf>
    <xf borderId="14" fillId="0" fontId="7" numFmtId="0" xfId="0" applyAlignment="1" applyBorder="1" applyFont="1">
      <alignment horizontal="center" shrinkToFit="0" vertical="center" wrapText="1"/>
    </xf>
    <xf borderId="13" fillId="0" fontId="7" numFmtId="0" xfId="0" applyAlignment="1" applyBorder="1" applyFont="1">
      <alignment horizontal="left" shrinkToFit="0" vertical="center" wrapText="1"/>
    </xf>
    <xf borderId="0" fillId="0" fontId="7" numFmtId="0" xfId="0" applyAlignment="1" applyFont="1">
      <alignment horizontal="left" shrinkToFit="0" vertical="center" wrapText="1"/>
    </xf>
    <xf borderId="14" fillId="0" fontId="7" numFmtId="0" xfId="0" applyAlignment="1" applyBorder="1" applyFont="1">
      <alignment horizontal="left" shrinkToFit="0" vertical="center" wrapText="1"/>
    </xf>
    <xf borderId="4" fillId="6"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0" fillId="0" fontId="2" numFmtId="0" xfId="0" applyAlignment="1" applyFont="1">
      <alignment horizontal="center" shrinkToFit="0" wrapText="1"/>
    </xf>
    <xf borderId="0" fillId="0" fontId="10" numFmtId="0" xfId="0" applyAlignment="1" applyFont="1">
      <alignment horizontal="left" shrinkToFit="0" vertical="center" wrapText="1"/>
    </xf>
    <xf borderId="2" fillId="11" fontId="2" numFmtId="0" xfId="0" applyAlignment="1" applyBorder="1" applyFont="1">
      <alignment horizontal="center" vertical="center"/>
    </xf>
    <xf borderId="2" fillId="0" fontId="2" numFmtId="0" xfId="0" applyAlignment="1" applyBorder="1" applyFont="1">
      <alignment horizontal="center"/>
    </xf>
    <xf borderId="4" fillId="0" fontId="2" numFmtId="0" xfId="0" applyAlignment="1" applyBorder="1" applyFont="1">
      <alignment horizontal="left" shrinkToFit="0" wrapText="1"/>
    </xf>
    <xf borderId="4" fillId="0" fontId="2" numFmtId="0" xfId="0" applyAlignment="1" applyBorder="1" applyFont="1">
      <alignment horizontal="left" readingOrder="0" shrinkToFit="0" vertical="center" wrapText="1"/>
    </xf>
    <xf borderId="21" fillId="11" fontId="2" numFmtId="0" xfId="0" applyAlignment="1" applyBorder="1" applyFont="1">
      <alignment horizontal="center" vertical="center"/>
    </xf>
    <xf borderId="4" fillId="0" fontId="2" numFmtId="0" xfId="0" applyAlignment="1" applyBorder="1" applyFont="1">
      <alignment horizontal="left" shrinkToFit="0" vertical="center" wrapText="1"/>
    </xf>
    <xf borderId="18" fillId="17" fontId="3" numFmtId="0" xfId="0" applyAlignment="1" applyBorder="1" applyFill="1" applyFont="1">
      <alignment horizontal="left"/>
    </xf>
    <xf borderId="18" fillId="0" fontId="2" numFmtId="0" xfId="0" applyAlignment="1" applyBorder="1" applyFont="1">
      <alignment horizontal="left"/>
    </xf>
    <xf borderId="0" fillId="0" fontId="11" numFmtId="0" xfId="0" applyFont="1"/>
    <xf borderId="0" fillId="0" fontId="12" numFmtId="0" xfId="0" applyAlignment="1" applyFont="1">
      <alignment horizontal="center" readingOrder="0"/>
    </xf>
    <xf borderId="0" fillId="0" fontId="12" numFmtId="0" xfId="0" applyAlignment="1" applyFont="1">
      <alignment horizontal="center"/>
    </xf>
    <xf borderId="21" fillId="17" fontId="13" numFmtId="0" xfId="0" applyBorder="1" applyFont="1"/>
    <xf borderId="25" fillId="17" fontId="13" numFmtId="1" xfId="0" applyAlignment="1" applyBorder="1" applyFont="1" applyNumberFormat="1">
      <alignment horizontal="center"/>
    </xf>
    <xf borderId="26" fillId="0" fontId="4" numFmtId="0" xfId="0" applyBorder="1" applyFont="1"/>
    <xf borderId="0" fillId="0" fontId="14" numFmtId="0" xfId="0" applyFont="1"/>
    <xf borderId="18" fillId="15" fontId="3" numFmtId="0" xfId="0" applyAlignment="1" applyBorder="1" applyFont="1">
      <alignment horizontal="left"/>
    </xf>
    <xf borderId="4" fillId="0" fontId="2" numFmtId="0" xfId="0" applyAlignment="1" applyBorder="1" applyFont="1">
      <alignment horizontal="center" vertical="center"/>
    </xf>
    <xf borderId="0" fillId="0" fontId="2" numFmtId="0" xfId="0" applyAlignment="1" applyFont="1">
      <alignment horizontal="left" shrinkToFit="0" wrapText="1"/>
    </xf>
    <xf borderId="0" fillId="0" fontId="2" numFmtId="0" xfId="0" applyAlignment="1" applyFont="1">
      <alignment horizontal="center" vertical="center"/>
    </xf>
    <xf borderId="18" fillId="0" fontId="2" numFmtId="0" xfId="0" applyAlignment="1" applyBorder="1" applyFont="1">
      <alignment horizontal="center" shrinkToFit="0" wrapText="1"/>
    </xf>
    <xf borderId="18" fillId="0" fontId="7" numFmtId="0" xfId="0" applyAlignment="1" applyBorder="1" applyFont="1">
      <alignment horizontal="left"/>
    </xf>
    <xf borderId="18" fillId="18" fontId="3" numFmtId="0" xfId="0" applyAlignment="1" applyBorder="1" applyFill="1" applyFont="1">
      <alignment horizontal="left"/>
    </xf>
    <xf borderId="4" fillId="0" fontId="2" numFmtId="0" xfId="0" applyAlignment="1" applyBorder="1" applyFont="1">
      <alignment horizontal="left"/>
    </xf>
    <xf borderId="5" fillId="0" fontId="2" numFmtId="0" xfId="0" applyAlignment="1" applyBorder="1" applyFont="1">
      <alignment horizontal="center"/>
    </xf>
    <xf borderId="5" fillId="0" fontId="2" numFmtId="0" xfId="0" applyAlignment="1" applyBorder="1" applyFont="1">
      <alignment horizontal="left"/>
    </xf>
    <xf borderId="27" fillId="19" fontId="3" numFmtId="0" xfId="0" applyAlignment="1" applyBorder="1" applyFill="1" applyFont="1">
      <alignment horizontal="left"/>
    </xf>
    <xf borderId="28" fillId="0" fontId="4" numFmtId="0" xfId="0" applyBorder="1" applyFont="1"/>
    <xf borderId="29" fillId="0" fontId="4" numFmtId="0" xfId="0" applyBorder="1" applyFont="1"/>
    <xf borderId="18" fillId="0" fontId="2" numFmtId="0" xfId="0" applyAlignment="1" applyBorder="1" applyFont="1">
      <alignment horizontal="left" shrinkToFit="0" wrapText="1"/>
    </xf>
    <xf borderId="25" fillId="6" fontId="3" numFmtId="0" xfId="0" applyAlignment="1" applyBorder="1" applyFont="1">
      <alignment horizontal="left"/>
    </xf>
    <xf borderId="30" fillId="0" fontId="4" numFmtId="0" xfId="0" applyBorder="1" applyFont="1"/>
    <xf borderId="2" fillId="20" fontId="2" numFmtId="0" xfId="0" applyAlignment="1" applyBorder="1" applyFill="1" applyFont="1">
      <alignment horizontal="center" vertical="center"/>
    </xf>
    <xf borderId="2" fillId="9" fontId="2" numFmtId="0" xfId="0" applyAlignment="1" applyBorder="1" applyFont="1">
      <alignment horizontal="center" vertical="center"/>
    </xf>
    <xf borderId="18" fillId="9" fontId="2" numFmtId="0" xfId="0" applyAlignment="1" applyBorder="1" applyFont="1">
      <alignment horizontal="left"/>
    </xf>
    <xf borderId="2" fillId="21" fontId="2" numFmtId="0" xfId="0" applyAlignment="1" applyBorder="1" applyFill="1" applyFont="1">
      <alignment horizontal="center" shrinkToFit="0" vertical="center" wrapText="1"/>
    </xf>
    <xf borderId="18" fillId="21" fontId="2" numFmtId="0" xfId="0" applyAlignment="1" applyBorder="1" applyFont="1">
      <alignment horizontal="left"/>
    </xf>
    <xf borderId="17" fillId="0" fontId="2" numFmtId="0" xfId="0" applyAlignment="1" applyBorder="1" applyFont="1">
      <alignment horizontal="left"/>
    </xf>
    <xf borderId="2" fillId="15" fontId="2" numFmtId="0" xfId="0" applyAlignment="1" applyBorder="1" applyFont="1">
      <alignment horizontal="center" shrinkToFit="0" vertical="center" wrapText="1"/>
    </xf>
    <xf borderId="4" fillId="15" fontId="2" numFmtId="0" xfId="0" applyAlignment="1" applyBorder="1" applyFont="1">
      <alignment shrinkToFit="0" wrapText="1"/>
    </xf>
    <xf borderId="0" fillId="0" fontId="2" numFmtId="0" xfId="0" applyAlignment="1" applyFont="1">
      <alignment vertical="top"/>
    </xf>
    <xf borderId="18" fillId="11" fontId="3" numFmtId="0" xfId="0" applyAlignment="1" applyBorder="1" applyFont="1">
      <alignment horizontal="left"/>
    </xf>
    <xf borderId="0" fillId="0" fontId="13" numFmtId="1" xfId="0" applyFont="1" applyNumberFormat="1"/>
    <xf borderId="0" fillId="0" fontId="2" numFmtId="0" xfId="0" applyAlignment="1" applyFont="1">
      <alignment horizontal="right"/>
    </xf>
    <xf borderId="0" fillId="0" fontId="2" numFmtId="165" xfId="0" applyFont="1" applyNumberFormat="1"/>
    <xf borderId="17" fillId="0" fontId="2" numFmtId="0" xfId="0" applyAlignment="1" applyBorder="1" applyFont="1">
      <alignment horizontal="right"/>
    </xf>
    <xf borderId="0" fillId="0" fontId="15" numFmtId="1" xfId="0" applyFont="1" applyNumberFormat="1"/>
    <xf borderId="0" fillId="0" fontId="16" numFmtId="0" xfId="0" applyAlignment="1" applyFont="1">
      <alignment horizontal="center"/>
    </xf>
    <xf borderId="0" fillId="0" fontId="3" numFmtId="0" xfId="0" applyAlignment="1" applyFont="1">
      <alignment horizontal="right"/>
    </xf>
    <xf borderId="25" fillId="22" fontId="13" numFmtId="166" xfId="0" applyAlignment="1" applyBorder="1" applyFill="1" applyFont="1" applyNumberFormat="1">
      <alignment horizontal="center"/>
    </xf>
    <xf borderId="18" fillId="23" fontId="3" numFmtId="0" xfId="0" applyAlignment="1" applyBorder="1" applyFill="1" applyFont="1">
      <alignment horizontal="left"/>
    </xf>
    <xf borderId="18" fillId="24" fontId="3" numFmtId="0" xfId="0" applyAlignment="1" applyBorder="1" applyFill="1" applyFont="1">
      <alignment horizontal="left"/>
    </xf>
    <xf borderId="2" fillId="0" fontId="2" numFmtId="0" xfId="0" applyAlignment="1" applyBorder="1" applyFont="1">
      <alignment horizontal="center" shrinkToFit="0" vertical="center" wrapText="1"/>
    </xf>
    <xf borderId="4" fillId="0" fontId="2" numFmtId="0" xfId="0" applyAlignment="1" applyBorder="1" applyFont="1">
      <alignment horizontal="left" shrinkToFit="0" vertical="top" wrapText="1"/>
    </xf>
    <xf borderId="0" fillId="0" fontId="2" numFmtId="0" xfId="0" applyAlignment="1" applyFont="1">
      <alignment horizontal="center" shrinkToFit="0" vertical="center" wrapText="1"/>
    </xf>
    <xf borderId="0" fillId="0" fontId="2" numFmtId="0" xfId="0" applyAlignment="1" applyFont="1">
      <alignment horizontal="left" shrinkToFit="0" vertical="top" wrapText="1"/>
    </xf>
    <xf borderId="25" fillId="25" fontId="3" numFmtId="0" xfId="0" applyAlignment="1" applyBorder="1" applyFill="1" applyFont="1">
      <alignment horizontal="left"/>
    </xf>
    <xf borderId="21" fillId="26" fontId="2" numFmtId="0" xfId="0" applyBorder="1" applyFill="1" applyFont="1"/>
    <xf borderId="25" fillId="26" fontId="2" numFmtId="0" xfId="0" applyAlignment="1" applyBorder="1" applyFont="1">
      <alignment horizontal="left"/>
    </xf>
    <xf borderId="18" fillId="0" fontId="2" numFmtId="0" xfId="0" applyAlignment="1" applyBorder="1" applyFont="1">
      <alignment horizontal="left" shrinkToFit="0" vertical="center" wrapText="1"/>
    </xf>
    <xf borderId="2" fillId="19" fontId="7" numFmtId="0" xfId="0" applyAlignment="1" applyBorder="1" applyFont="1">
      <alignment horizontal="center" vertical="center"/>
    </xf>
    <xf borderId="2" fillId="13" fontId="7" numFmtId="0" xfId="0" applyAlignment="1" applyBorder="1" applyFont="1">
      <alignment horizontal="center" vertical="center"/>
    </xf>
    <xf borderId="2" fillId="0" fontId="2" numFmtId="0" xfId="0" applyAlignment="1" applyBorder="1" applyFont="1">
      <alignment horizontal="center" vertical="center"/>
    </xf>
    <xf borderId="4" fillId="0" fontId="10" numFmtId="0" xfId="0" applyAlignment="1" applyBorder="1" applyFont="1">
      <alignment horizontal="left" shrinkToFit="0" vertical="center" wrapText="1"/>
    </xf>
    <xf borderId="0" fillId="0" fontId="7" numFmtId="0" xfId="0" applyAlignment="1" applyFont="1">
      <alignment horizontal="center" vertical="center"/>
    </xf>
    <xf borderId="18" fillId="11" fontId="2" numFmtId="0" xfId="0" applyAlignment="1" applyBorder="1" applyFont="1">
      <alignment horizontal="center"/>
    </xf>
    <xf borderId="1" fillId="0" fontId="3" numFmtId="0" xfId="0" applyBorder="1" applyFont="1"/>
    <xf borderId="1" fillId="0" fontId="2" numFmtId="0" xfId="0" applyBorder="1" applyFont="1"/>
    <xf borderId="2" fillId="11" fontId="7" numFmtId="0" xfId="0" applyAlignment="1" applyBorder="1" applyFont="1">
      <alignment horizontal="center" vertical="center"/>
    </xf>
    <xf borderId="2" fillId="11" fontId="7" numFmtId="0" xfId="0" applyAlignment="1" applyBorder="1" applyFont="1">
      <alignment horizontal="center" shrinkToFit="0" vertical="center" wrapText="1"/>
    </xf>
    <xf borderId="31" fillId="27" fontId="7" numFmtId="0" xfId="0" applyAlignment="1" applyBorder="1" applyFill="1" applyFont="1">
      <alignment horizontal="center" shrinkToFit="0" vertical="center" wrapText="1"/>
    </xf>
    <xf borderId="4" fillId="20" fontId="7" numFmtId="0" xfId="0" applyAlignment="1" applyBorder="1" applyFont="1">
      <alignment horizontal="center" shrinkToFit="0" vertical="center" wrapText="1"/>
    </xf>
    <xf borderId="4" fillId="3" fontId="8" numFmtId="0" xfId="0" applyAlignment="1" applyBorder="1" applyFont="1">
      <alignment horizontal="center" shrinkToFit="0" vertical="center" wrapText="1"/>
    </xf>
    <xf borderId="2" fillId="15" fontId="7" numFmtId="0" xfId="0" applyAlignment="1" applyBorder="1" applyFont="1">
      <alignment horizontal="center" shrinkToFit="0" vertical="center" wrapText="1"/>
    </xf>
    <xf borderId="2" fillId="15" fontId="7" numFmtId="0" xfId="0" applyAlignment="1" applyBorder="1" applyFont="1">
      <alignment horizontal="center" vertical="center"/>
    </xf>
    <xf borderId="32" fillId="0" fontId="4" numFmtId="0" xfId="0" applyBorder="1" applyFont="1"/>
    <xf borderId="17" fillId="11" fontId="7" numFmtId="0" xfId="0" applyAlignment="1" applyBorder="1" applyFont="1">
      <alignment horizontal="center" shrinkToFit="0" wrapText="1"/>
    </xf>
    <xf borderId="17" fillId="27" fontId="9" numFmtId="0" xfId="0" applyAlignment="1" applyBorder="1" applyFont="1">
      <alignment horizontal="center" shrinkToFit="0" vertical="center" wrapText="1"/>
    </xf>
    <xf borderId="17" fillId="20" fontId="9" numFmtId="0" xfId="0" applyAlignment="1" applyBorder="1" applyFont="1">
      <alignment horizontal="center" shrinkToFit="0" vertical="center" wrapText="1"/>
    </xf>
    <xf borderId="18" fillId="20" fontId="9" numFmtId="0" xfId="0" applyAlignment="1" applyBorder="1" applyFont="1">
      <alignment horizontal="center" shrinkToFit="0" vertical="center" wrapText="1"/>
    </xf>
    <xf borderId="18" fillId="3" fontId="17" numFmtId="0" xfId="0" applyAlignment="1" applyBorder="1" applyFont="1">
      <alignment horizontal="center" shrinkToFit="0" vertical="center" wrapText="1"/>
    </xf>
    <xf borderId="17" fillId="11" fontId="7" numFmtId="0" xfId="0" applyAlignment="1" applyBorder="1" applyFont="1">
      <alignment horizontal="center" shrinkToFit="0" vertical="center" wrapText="1"/>
    </xf>
    <xf borderId="17" fillId="27" fontId="7" numFmtId="0" xfId="0" applyAlignment="1" applyBorder="1" applyFont="1">
      <alignment horizontal="center"/>
    </xf>
    <xf borderId="17" fillId="20" fontId="7" numFmtId="0" xfId="0" applyAlignment="1" applyBorder="1" applyFont="1">
      <alignment horizontal="center"/>
    </xf>
    <xf borderId="18" fillId="20" fontId="7" numFmtId="0" xfId="0" applyAlignment="1" applyBorder="1" applyFont="1">
      <alignment horizontal="center"/>
    </xf>
    <xf borderId="18" fillId="3" fontId="8" numFmtId="2" xfId="0" applyAlignment="1" applyBorder="1" applyFont="1" applyNumberFormat="1">
      <alignment horizontal="center"/>
    </xf>
    <xf borderId="18" fillId="3" fontId="8" numFmtId="0" xfId="0" applyAlignment="1" applyBorder="1" applyFont="1">
      <alignment horizontal="center"/>
    </xf>
    <xf borderId="18" fillId="0" fontId="7" numFmtId="0" xfId="0" applyAlignment="1" applyBorder="1" applyFont="1">
      <alignment horizontal="left" shrinkToFit="0" wrapText="1"/>
    </xf>
    <xf borderId="17" fillId="0" fontId="7" numFmtId="0" xfId="0" applyAlignment="1" applyBorder="1" applyFont="1">
      <alignment horizontal="left" shrinkToFit="0" wrapText="1"/>
    </xf>
    <xf borderId="17" fillId="0" fontId="7" numFmtId="2" xfId="0" applyAlignment="1" applyBorder="1" applyFont="1" applyNumberFormat="1">
      <alignment horizontal="left" shrinkToFit="0" wrapText="1"/>
    </xf>
    <xf borderId="17" fillId="0" fontId="7" numFmtId="164" xfId="0" applyAlignment="1" applyBorder="1" applyFont="1" applyNumberFormat="1">
      <alignment horizontal="left" shrinkToFit="0" wrapText="1"/>
    </xf>
    <xf borderId="18" fillId="3" fontId="8" numFmtId="1" xfId="0" applyAlignment="1" applyBorder="1" applyFont="1" applyNumberFormat="1">
      <alignment horizontal="center"/>
    </xf>
    <xf borderId="17" fillId="27" fontId="7" numFmtId="164" xfId="0" applyAlignment="1" applyBorder="1" applyFont="1" applyNumberFormat="1">
      <alignment horizontal="center"/>
    </xf>
    <xf borderId="17" fillId="20" fontId="7" numFmtId="164" xfId="0" applyAlignment="1" applyBorder="1" applyFont="1" applyNumberFormat="1">
      <alignment horizontal="center"/>
    </xf>
    <xf borderId="18" fillId="20" fontId="7" numFmtId="164" xfId="0" applyAlignment="1" applyBorder="1" applyFont="1" applyNumberFormat="1">
      <alignment horizontal="center"/>
    </xf>
    <xf borderId="18" fillId="3" fontId="8" numFmtId="164" xfId="0" applyAlignment="1" applyBorder="1" applyFont="1" applyNumberFormat="1">
      <alignment horizontal="center"/>
    </xf>
    <xf borderId="17" fillId="20" fontId="7" numFmtId="0" xfId="0" applyAlignment="1" applyBorder="1" applyFont="1">
      <alignment horizontal="center" vertical="center"/>
    </xf>
    <xf borderId="18" fillId="20" fontId="7" numFmtId="0" xfId="0" applyAlignment="1" applyBorder="1" applyFont="1">
      <alignment horizontal="center" shrinkToFit="0" vertical="center" wrapText="1"/>
    </xf>
    <xf borderId="18" fillId="3" fontId="8" numFmtId="2" xfId="0" applyAlignment="1" applyBorder="1" applyFont="1" applyNumberFormat="1">
      <alignment horizontal="center" shrinkToFit="0" wrapText="1"/>
    </xf>
    <xf borderId="3" fillId="27" fontId="7" numFmtId="0" xfId="0" applyAlignment="1" applyBorder="1" applyFont="1">
      <alignment horizontal="center" shrinkToFit="0" wrapText="1"/>
    </xf>
    <xf borderId="3" fillId="20" fontId="7" numFmtId="0" xfId="0" applyAlignment="1" applyBorder="1" applyFont="1">
      <alignment horizontal="center"/>
    </xf>
    <xf borderId="18" fillId="0" fontId="7" numFmtId="0" xfId="0" applyAlignment="1" applyBorder="1" applyFont="1">
      <alignment horizontal="center"/>
    </xf>
    <xf borderId="3" fillId="27" fontId="7" numFmtId="0" xfId="0" applyAlignment="1" applyBorder="1" applyFont="1">
      <alignment horizontal="center"/>
    </xf>
    <xf borderId="18" fillId="20" fontId="7" numFmtId="0" xfId="0" applyAlignment="1" applyBorder="1" applyFont="1">
      <alignment horizontal="center" shrinkToFit="0" wrapText="1"/>
    </xf>
    <xf borderId="17" fillId="27" fontId="7" numFmtId="0" xfId="0" applyAlignment="1" applyBorder="1" applyFont="1">
      <alignment horizontal="center" shrinkToFit="0" wrapText="1"/>
    </xf>
    <xf borderId="0" fillId="0" fontId="3" numFmtId="0" xfId="0" applyFont="1"/>
    <xf borderId="17" fillId="16" fontId="2" numFmtId="0" xfId="0" applyBorder="1" applyFont="1"/>
    <xf borderId="0" fillId="0" fontId="18" numFmtId="0" xfId="0" applyAlignment="1" applyFont="1">
      <alignment horizontal="left"/>
    </xf>
    <xf borderId="0" fillId="0" fontId="19" numFmtId="0" xfId="0" applyAlignment="1" applyFont="1">
      <alignment horizontal="left"/>
    </xf>
    <xf borderId="21" fillId="19" fontId="7" numFmtId="0" xfId="0" applyAlignment="1" applyBorder="1" applyFont="1">
      <alignment horizontal="center" vertical="center"/>
    </xf>
    <xf borderId="0" fillId="0" fontId="2" numFmtId="0" xfId="0" applyAlignment="1" applyFont="1">
      <alignment horizontal="left" shrinkToFit="0" vertical="center" wrapText="1"/>
    </xf>
    <xf borderId="33" fillId="13" fontId="7" numFmtId="0" xfId="0" applyAlignment="1" applyBorder="1" applyFont="1">
      <alignment horizontal="center" vertical="center"/>
    </xf>
    <xf borderId="21" fillId="11" fontId="2" numFmtId="0" xfId="0" applyBorder="1" applyFont="1"/>
    <xf borderId="1" fillId="0" fontId="2" numFmtId="0" xfId="0" applyAlignment="1" applyBorder="1" applyFont="1">
      <alignment horizontal="center" shrinkToFit="0" wrapText="1"/>
    </xf>
    <xf borderId="0" fillId="0" fontId="2" numFmtId="0" xfId="0" applyAlignment="1" applyFont="1">
      <alignment horizontal="left" vertical="center"/>
    </xf>
    <xf borderId="13" fillId="0" fontId="7" numFmtId="0" xfId="0" applyAlignment="1" applyBorder="1" applyFont="1">
      <alignment shrinkToFit="0" vertical="center" wrapText="1"/>
    </xf>
    <xf borderId="0" fillId="0" fontId="7" numFmtId="0" xfId="0" applyAlignment="1" applyFont="1">
      <alignment shrinkToFit="0" vertical="center" wrapText="1"/>
    </xf>
    <xf borderId="34" fillId="11" fontId="9" numFmtId="0" xfId="0" applyAlignment="1" applyBorder="1" applyFont="1">
      <alignment horizontal="center" shrinkToFit="0" vertical="center" wrapText="1"/>
    </xf>
    <xf borderId="13" fillId="0" fontId="9" numFmtId="0" xfId="0" applyAlignment="1" applyBorder="1" applyFont="1">
      <alignment shrinkToFit="0" vertical="center" wrapText="1"/>
    </xf>
    <xf borderId="0" fillId="0" fontId="9" numFmtId="0" xfId="0" applyAlignment="1" applyFont="1">
      <alignment shrinkToFit="0" vertical="center" wrapText="1"/>
    </xf>
    <xf borderId="0" fillId="0" fontId="7" numFmtId="0" xfId="0" applyAlignment="1" applyFont="1">
      <alignment horizontal="center" shrinkToFit="0" wrapText="1"/>
    </xf>
    <xf borderId="0" fillId="0" fontId="9" numFmtId="0" xfId="0" applyAlignment="1" applyFont="1">
      <alignment horizontal="center" shrinkToFit="0" vertical="center" wrapText="1"/>
    </xf>
    <xf borderId="17" fillId="11" fontId="7" numFmtId="0" xfId="0" applyAlignment="1" applyBorder="1" applyFont="1">
      <alignment horizontal="center"/>
    </xf>
    <xf borderId="18" fillId="0" fontId="8" numFmtId="0" xfId="0" applyAlignment="1" applyBorder="1" applyFont="1">
      <alignment horizontal="center"/>
    </xf>
    <xf borderId="18" fillId="0" fontId="7" numFmtId="164" xfId="0" applyAlignment="1" applyBorder="1" applyFont="1" applyNumberFormat="1">
      <alignment horizontal="center"/>
    </xf>
    <xf borderId="13" fillId="0" fontId="9" numFmtId="0" xfId="0" applyAlignment="1" applyBorder="1" applyFont="1">
      <alignment horizontal="center" shrinkToFit="0" vertical="center" wrapText="1"/>
    </xf>
    <xf borderId="0" fillId="0" fontId="7" numFmtId="0" xfId="0" applyAlignment="1" applyFont="1">
      <alignment horizontal="left"/>
    </xf>
    <xf borderId="0" fillId="0" fontId="7" numFmtId="164" xfId="0" applyAlignment="1" applyFont="1" applyNumberFormat="1">
      <alignment horizontal="center"/>
    </xf>
    <xf borderId="18" fillId="0" fontId="7" numFmtId="0" xfId="0" applyAlignment="1" applyBorder="1" applyFont="1">
      <alignment horizontal="center" shrinkToFit="0" wrapText="1"/>
    </xf>
    <xf borderId="18" fillId="0" fontId="8" numFmtId="0" xfId="0" applyAlignment="1" applyBorder="1" applyFont="1">
      <alignment horizontal="center" shrinkToFit="0" wrapText="1"/>
    </xf>
    <xf borderId="13" fillId="0" fontId="7" numFmtId="0" xfId="0" applyAlignment="1" applyBorder="1" applyFont="1">
      <alignment horizontal="center"/>
    </xf>
    <xf borderId="17" fillId="16" fontId="2" numFmtId="0" xfId="0" applyAlignment="1" applyBorder="1" applyFont="1">
      <alignment horizontal="center" vertical="center"/>
    </xf>
    <xf borderId="0" fillId="0" fontId="2" numFmtId="0" xfId="0" applyAlignment="1" applyFont="1">
      <alignment shrinkToFit="0" vertical="top" wrapText="1"/>
    </xf>
    <xf borderId="0" fillId="11" fontId="1" numFmtId="0" xfId="0" applyFont="1"/>
    <xf borderId="0" fillId="11" fontId="2" numFmtId="0" xfId="0" applyAlignment="1" applyFont="1">
      <alignment horizontal="center"/>
    </xf>
    <xf borderId="4" fillId="11" fontId="7" numFmtId="0" xfId="0" applyAlignment="1" applyBorder="1" applyFont="1">
      <alignment horizontal="center" shrinkToFit="0" vertical="center" wrapText="1"/>
    </xf>
    <xf borderId="2" fillId="0" fontId="7" numFmtId="0" xfId="0" applyAlignment="1" applyBorder="1" applyFont="1">
      <alignment horizontal="center" vertical="center"/>
    </xf>
    <xf borderId="2" fillId="0"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33" fillId="19" fontId="7" numFmtId="0" xfId="0" applyAlignment="1" applyBorder="1" applyFont="1">
      <alignment horizontal="center" vertical="center"/>
    </xf>
    <xf borderId="0" fillId="0" fontId="2" numFmtId="0" xfId="0" applyAlignment="1" applyFont="1">
      <alignment shrinkToFit="0" vertical="center" wrapText="1"/>
    </xf>
    <xf borderId="17" fillId="11" fontId="9" numFmtId="0" xfId="0" applyAlignment="1" applyBorder="1" applyFont="1">
      <alignment horizontal="center" shrinkToFit="0" vertical="center" wrapText="1"/>
    </xf>
    <xf borderId="17" fillId="0" fontId="7" numFmtId="0" xfId="0" applyAlignment="1" applyBorder="1" applyFont="1">
      <alignment horizontal="center" shrinkToFit="0" wrapText="1"/>
    </xf>
    <xf borderId="18" fillId="0" fontId="9" numFmtId="0" xfId="0" applyAlignment="1" applyBorder="1" applyFont="1">
      <alignment horizontal="center" shrinkToFit="0" vertical="center" wrapText="1"/>
    </xf>
    <xf borderId="17" fillId="11" fontId="7" numFmtId="0" xfId="0" applyBorder="1" applyFont="1"/>
    <xf borderId="34" fillId="3" fontId="8" numFmtId="0" xfId="0" applyAlignment="1" applyBorder="1" applyFont="1">
      <alignment horizontal="center"/>
    </xf>
    <xf borderId="17" fillId="3" fontId="8" numFmtId="0" xfId="0" applyAlignment="1" applyBorder="1" applyFont="1">
      <alignment horizontal="center"/>
    </xf>
    <xf borderId="34" fillId="3" fontId="8" numFmtId="164" xfId="0" applyAlignment="1" applyBorder="1" applyFont="1" applyNumberFormat="1">
      <alignment horizontal="center"/>
    </xf>
    <xf borderId="17" fillId="3" fontId="8" numFmtId="164" xfId="0" applyAlignment="1" applyBorder="1" applyFont="1" applyNumberFormat="1">
      <alignment horizontal="center"/>
    </xf>
    <xf borderId="34" fillId="3" fontId="7" numFmtId="0" xfId="0" applyAlignment="1" applyBorder="1" applyFont="1">
      <alignment horizontal="center"/>
    </xf>
    <xf borderId="17" fillId="3" fontId="7" numFmtId="0" xfId="0" applyAlignment="1" applyBorder="1" applyFont="1">
      <alignment horizontal="center"/>
    </xf>
    <xf borderId="17" fillId="0" fontId="7" numFmtId="0" xfId="0" applyAlignment="1" applyBorder="1" applyFont="1">
      <alignment horizontal="left"/>
    </xf>
    <xf borderId="0" fillId="0" fontId="8" numFmtId="0" xfId="0" applyAlignment="1" applyFont="1">
      <alignment horizontal="center"/>
    </xf>
    <xf borderId="0" fillId="0" fontId="10" numFmtId="0" xfId="0" applyAlignment="1" applyFont="1">
      <alignment horizontal="left" shrinkToFit="0" vertical="top" wrapText="1"/>
    </xf>
    <xf borderId="0" fillId="0" fontId="10" numFmtId="0" xfId="0" applyAlignment="1" applyFont="1">
      <alignment shrinkToFit="0" vertical="center" wrapText="1"/>
    </xf>
    <xf borderId="0" fillId="0" fontId="7" numFmtId="2" xfId="0" applyAlignment="1" applyFont="1" applyNumberFormat="1">
      <alignment horizontal="center"/>
    </xf>
    <xf borderId="0" fillId="0" fontId="7" numFmtId="164" xfId="0" applyAlignment="1" applyFont="1" applyNumberFormat="1">
      <alignment horizontal="center" shrinkToFit="0" wrapText="1"/>
    </xf>
    <xf borderId="18" fillId="10" fontId="3" numFmtId="0" xfId="0" applyAlignment="1" applyBorder="1" applyFont="1">
      <alignment horizontal="center"/>
    </xf>
    <xf borderId="4" fillId="10" fontId="2" numFmtId="0" xfId="0" applyAlignment="1" applyBorder="1" applyFont="1">
      <alignment horizontal="center" vertical="center"/>
    </xf>
    <xf borderId="4" fillId="10" fontId="2" numFmtId="0" xfId="0" applyAlignment="1" applyBorder="1" applyFont="1">
      <alignment horizontal="center"/>
    </xf>
    <xf borderId="17" fillId="10" fontId="2" numFmtId="0" xfId="0" applyAlignment="1" applyBorder="1" applyFont="1">
      <alignment horizontal="center"/>
    </xf>
    <xf borderId="17" fillId="11" fontId="7" numFmtId="0" xfId="0" applyAlignment="1" applyBorder="1" applyFont="1">
      <alignment horizontal="left"/>
    </xf>
    <xf borderId="17" fillId="0" fontId="7" numFmtId="166" xfId="0" applyAlignment="1" applyBorder="1" applyFont="1" applyNumberFormat="1">
      <alignment horizontal="center"/>
    </xf>
    <xf borderId="2" fillId="0" fontId="8" numFmtId="0" xfId="0" applyAlignment="1" applyBorder="1" applyFont="1">
      <alignment horizontal="center" vertical="center"/>
    </xf>
    <xf borderId="17" fillId="0" fontId="8" numFmtId="0" xfId="0" applyAlignment="1" applyBorder="1" applyFont="1">
      <alignment horizontal="center" shrinkToFit="0" wrapText="1"/>
    </xf>
    <xf borderId="18" fillId="0" fontId="7" numFmtId="0" xfId="0" applyAlignment="1" applyBorder="1" applyFont="1">
      <alignment horizontal="center" vertical="center"/>
    </xf>
    <xf borderId="3" fillId="11" fontId="7" numFmtId="0" xfId="0" applyAlignment="1" applyBorder="1" applyFont="1">
      <alignment horizontal="center"/>
    </xf>
    <xf borderId="17" fillId="11" fontId="2" numFmtId="0" xfId="0" applyBorder="1" applyFont="1"/>
    <xf borderId="17" fillId="11" fontId="2" numFmtId="0" xfId="0" applyAlignment="1" applyBorder="1" applyFont="1">
      <alignment horizontal="left"/>
    </xf>
    <xf borderId="17" fillId="0" fontId="2" numFmtId="0" xfId="0" applyAlignment="1" applyBorder="1" applyFont="1">
      <alignment shrinkToFit="0" wrapText="1"/>
    </xf>
    <xf borderId="17" fillId="11" fontId="2" numFmtId="0" xfId="0" applyAlignment="1" applyBorder="1" applyFont="1">
      <alignment shrinkToFit="0" wrapText="1"/>
    </xf>
    <xf borderId="2" fillId="11" fontId="2" numFmtId="0" xfId="0" applyAlignment="1" applyBorder="1" applyFont="1">
      <alignment horizontal="left" vertical="center"/>
    </xf>
    <xf borderId="18" fillId="0" fontId="2" numFmtId="0" xfId="0" applyAlignment="1" applyBorder="1" applyFont="1">
      <alignment horizontal="left" vertical="center"/>
    </xf>
    <xf borderId="17" fillId="0" fontId="3" numFmtId="0" xfId="0" applyAlignment="1" applyBorder="1" applyFont="1">
      <alignment horizontal="center"/>
    </xf>
    <xf borderId="17" fillId="0" fontId="2" numFmtId="0" xfId="0" applyAlignment="1" applyBorder="1" applyFont="1">
      <alignment horizontal="center" shrinkToFit="0" vertical="center" wrapText="1"/>
    </xf>
    <xf borderId="18" fillId="0" fontId="2" numFmtId="0" xfId="0" applyAlignment="1" applyBorder="1" applyFont="1">
      <alignment horizontal="center" shrinkToFit="0" vertical="center" wrapText="1"/>
    </xf>
    <xf borderId="17" fillId="0" fontId="2" numFmtId="0" xfId="0" applyAlignment="1" applyBorder="1" applyFont="1">
      <alignment shrinkToFit="0" vertical="center" wrapText="1"/>
    </xf>
    <xf borderId="2" fillId="0" fontId="2" numFmtId="0" xfId="0" applyAlignment="1" applyBorder="1" applyFont="1">
      <alignment horizontal="left" shrinkToFit="0" vertical="center" wrapText="1"/>
    </xf>
    <xf borderId="4" fillId="0" fontId="9" numFmtId="0" xfId="0" applyAlignment="1" applyBorder="1" applyFont="1">
      <alignment horizontal="left" shrinkToFit="0" vertical="center" wrapText="1"/>
    </xf>
    <xf borderId="17" fillId="11" fontId="2" numFmtId="0" xfId="0" applyAlignment="1" applyBorder="1" applyFont="1">
      <alignment horizontal="center"/>
    </xf>
    <xf borderId="2" fillId="0" fontId="9" numFmtId="0" xfId="0" applyAlignment="1" applyBorder="1" applyFont="1">
      <alignment horizontal="left" shrinkToFit="0" wrapText="1"/>
    </xf>
    <xf borderId="17" fillId="0" fontId="9" numFmtId="0" xfId="0" applyAlignment="1" applyBorder="1" applyFont="1">
      <alignment horizontal="center"/>
    </xf>
    <xf borderId="2" fillId="0" fontId="2" numFmtId="0" xfId="0" applyAlignment="1" applyBorder="1" applyFont="1">
      <alignment horizontal="left" vertical="center"/>
    </xf>
    <xf borderId="4" fillId="0" fontId="9" numFmtId="0" xfId="0" applyAlignment="1" applyBorder="1" applyFont="1">
      <alignment horizontal="left" shrinkToFit="0" vertical="top" wrapText="1"/>
    </xf>
    <xf borderId="17" fillId="0" fontId="2" numFmtId="0" xfId="0" applyAlignment="1" applyBorder="1" applyFont="1">
      <alignment vertical="center"/>
    </xf>
    <xf borderId="17" fillId="0" fontId="2" numFmtId="0" xfId="0" applyAlignment="1" applyBorder="1" applyFont="1">
      <alignment horizontal="left" shrinkToFit="0" vertical="top" wrapText="1"/>
    </xf>
    <xf borderId="18" fillId="0" fontId="9" numFmtId="0" xfId="0" applyAlignment="1" applyBorder="1" applyFont="1">
      <alignment horizontal="left" shrinkToFit="0" vertical="top" wrapText="1"/>
    </xf>
    <xf borderId="17" fillId="0" fontId="2" numFmtId="0" xfId="0" applyAlignment="1" applyBorder="1" applyFont="1">
      <alignment shrinkToFit="0" vertical="top" wrapText="1"/>
    </xf>
    <xf borderId="21" fillId="25" fontId="10" numFmtId="0" xfId="0" applyBorder="1" applyFont="1"/>
    <xf borderId="17" fillId="25" fontId="10" numFmtId="0" xfId="0" applyAlignment="1" applyBorder="1" applyFont="1">
      <alignment horizontal="left" vertical="center"/>
    </xf>
    <xf borderId="17" fillId="25" fontId="10" numFmtId="0" xfId="0" applyAlignment="1" applyBorder="1" applyFont="1">
      <alignment horizontal="center" vertical="center"/>
    </xf>
    <xf borderId="17" fillId="25" fontId="10" numFmtId="0" xfId="0" applyAlignment="1" applyBorder="1" applyFont="1">
      <alignment horizontal="left" shrinkToFit="0" vertical="top" wrapText="1"/>
    </xf>
    <xf borderId="18" fillId="25" fontId="2" numFmtId="0" xfId="0" applyAlignment="1" applyBorder="1" applyFont="1">
      <alignment horizontal="left" shrinkToFit="0" vertical="top" wrapText="1"/>
    </xf>
    <xf borderId="17" fillId="0" fontId="2" numFmtId="0" xfId="0" applyAlignment="1" applyBorder="1" applyFont="1">
      <alignment horizontal="left" shrinkToFit="0" vertical="center" wrapText="1"/>
    </xf>
    <xf borderId="2" fillId="0" fontId="2" numFmtId="0" xfId="0" applyAlignment="1" applyBorder="1" applyFont="1">
      <alignment horizontal="left" vertical="top"/>
    </xf>
    <xf borderId="17" fillId="0" fontId="9" numFmtId="0" xfId="0" applyAlignment="1" applyBorder="1" applyFont="1">
      <alignment horizontal="left" shrinkToFit="0" vertical="top" wrapText="1"/>
    </xf>
    <xf borderId="18" fillId="0" fontId="7" numFmtId="0" xfId="0" applyAlignment="1" applyBorder="1" applyFont="1">
      <alignment horizontal="left" vertical="top"/>
    </xf>
    <xf borderId="4" fillId="0" fontId="2" numFmtId="0" xfId="0" applyAlignment="1" applyBorder="1" applyFont="1">
      <alignment horizontal="center" shrinkToFit="0" wrapText="1"/>
    </xf>
    <xf borderId="13" fillId="0" fontId="2" numFmtId="0" xfId="0" applyAlignment="1" applyBorder="1" applyFont="1">
      <alignment horizontal="left" shrinkToFit="0" wrapText="1"/>
    </xf>
    <xf quotePrefix="1" borderId="10" fillId="0" fontId="2" numFmtId="0" xfId="0" applyAlignment="1" applyBorder="1" applyFont="1">
      <alignment horizontal="left" shrinkToFit="0" wrapText="1"/>
    </xf>
    <xf borderId="13" fillId="0" fontId="2" numFmtId="0" xfId="0" applyAlignment="1" applyBorder="1" applyFont="1">
      <alignment horizontal="left"/>
    </xf>
    <xf borderId="10" fillId="0" fontId="2" numFmtId="0" xfId="0" applyAlignment="1" applyBorder="1" applyFont="1">
      <alignment horizontal="left"/>
    </xf>
    <xf borderId="35" fillId="11" fontId="7" numFmtId="0" xfId="0" applyAlignment="1" applyBorder="1" applyFont="1">
      <alignment horizontal="center" shrinkToFit="0" vertical="center" wrapText="1"/>
    </xf>
    <xf borderId="31" fillId="11" fontId="7" numFmtId="0" xfId="0" applyAlignment="1" applyBorder="1" applyFont="1">
      <alignment horizontal="center" shrinkToFit="0" vertical="center" wrapText="1"/>
    </xf>
    <xf borderId="36" fillId="11" fontId="7" numFmtId="0" xfId="0" applyAlignment="1" applyBorder="1" applyFont="1">
      <alignment horizontal="center" shrinkToFit="0" vertical="center" wrapText="1"/>
    </xf>
    <xf borderId="16" fillId="11" fontId="7" numFmtId="0" xfId="0" applyAlignment="1" applyBorder="1" applyFont="1">
      <alignment horizontal="center" shrinkToFit="0" vertical="center" wrapText="1"/>
    </xf>
    <xf borderId="37" fillId="0" fontId="2" numFmtId="0" xfId="0" applyBorder="1" applyFont="1"/>
    <xf borderId="38" fillId="0" fontId="2" numFmtId="0" xfId="0" applyBorder="1" applyFont="1"/>
    <xf borderId="39" fillId="0" fontId="2" numFmtId="0" xfId="0" applyBorder="1" applyFont="1"/>
    <xf borderId="40" fillId="0" fontId="2" numFmtId="0" xfId="0" applyBorder="1" applyFont="1"/>
    <xf borderId="41" fillId="0" fontId="2" numFmtId="0" xfId="0" applyBorder="1" applyFont="1"/>
    <xf borderId="4" fillId="0" fontId="7" numFmtId="0" xfId="0" applyAlignment="1" applyBorder="1" applyFont="1">
      <alignment horizontal="center"/>
    </xf>
    <xf borderId="42" fillId="0" fontId="2" numFmtId="0" xfId="0" applyAlignment="1" applyBorder="1" applyFont="1">
      <alignment horizontal="right"/>
    </xf>
    <xf borderId="43" fillId="0" fontId="4" numFmtId="0" xfId="0" applyBorder="1" applyFont="1"/>
    <xf borderId="44" fillId="0" fontId="4" numFmtId="0" xfId="0" applyBorder="1" applyFont="1"/>
    <xf borderId="45" fillId="11" fontId="2" numFmtId="0" xfId="0" applyBorder="1" applyFont="1"/>
    <xf borderId="46" fillId="11" fontId="2" numFmtId="167" xfId="0" applyBorder="1" applyFont="1" applyNumberFormat="1"/>
    <xf borderId="34" fillId="11" fontId="7" numFmtId="0" xfId="0" applyAlignment="1" applyBorder="1" applyFont="1">
      <alignment horizontal="center" shrinkToFit="0" wrapText="1"/>
    </xf>
    <xf borderId="18" fillId="0" fontId="7" numFmtId="10" xfId="0" applyAlignment="1" applyBorder="1" applyFont="1" applyNumberFormat="1">
      <alignment horizontal="center"/>
    </xf>
    <xf borderId="21" fillId="11" fontId="7"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129</xdr:row>
      <xdr:rowOff>0</xdr:rowOff>
    </xdr:from>
    <xdr:ext cx="10810875" cy="4343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71"/>
    <col customWidth="1" min="2" max="2" width="7.86"/>
    <col customWidth="1" min="3" max="17" width="6.71"/>
    <col customWidth="1" min="18" max="18" width="2.0"/>
    <col customWidth="1" min="19" max="19" width="14.86"/>
    <col customWidth="1" min="20" max="20" width="6.0"/>
    <col customWidth="1" min="21" max="21" width="9.29"/>
    <col customWidth="1" min="22" max="22" width="6.29"/>
    <col customWidth="1" min="23" max="23" width="7.29"/>
    <col customWidth="1" min="24" max="24" width="6.57"/>
    <col customWidth="1" min="25" max="25" width="6.71"/>
    <col customWidth="1" min="26" max="26" width="5.57"/>
    <col customWidth="1" min="27" max="27" width="7.43"/>
    <col customWidth="1" min="28" max="28" width="7.14"/>
    <col customWidth="1" min="29" max="29" width="8.0"/>
    <col customWidth="1" min="30" max="30" width="5.86"/>
    <col customWidth="1" min="31" max="31" width="8.71"/>
    <col customWidth="1" min="32" max="32" width="12.0"/>
    <col customWidth="1" min="33" max="33" width="11.0"/>
    <col customWidth="1" min="34" max="34" width="10.71"/>
    <col customWidth="1" min="35" max="35" width="11.29"/>
    <col customWidth="1" min="36" max="36" width="15.86"/>
    <col customWidth="1" min="37" max="41" width="8.71"/>
    <col customWidth="1" min="42" max="42" width="7.14"/>
    <col customWidth="1" min="43" max="43" width="8.14"/>
  </cols>
  <sheetData>
    <row r="1" ht="14.25" customHeight="1">
      <c r="A1" s="1" t="s">
        <v>0</v>
      </c>
      <c r="C1" s="2" t="s">
        <v>1</v>
      </c>
      <c r="S1" s="3" t="s">
        <v>2</v>
      </c>
      <c r="T1" s="3"/>
      <c r="U1" s="3"/>
      <c r="V1" s="3"/>
      <c r="W1" s="3"/>
      <c r="X1" s="3"/>
      <c r="Y1" s="3"/>
      <c r="Z1" s="3"/>
      <c r="AA1" s="3"/>
      <c r="AB1" s="3"/>
      <c r="AC1" s="3"/>
    </row>
    <row r="2" ht="15.0" customHeight="1">
      <c r="A2" s="1" t="s">
        <v>3</v>
      </c>
      <c r="C2" s="2" t="s">
        <v>4</v>
      </c>
      <c r="S2" s="4"/>
      <c r="T2" s="4"/>
      <c r="U2" s="4"/>
      <c r="V2" s="4"/>
      <c r="W2" s="4"/>
      <c r="X2" s="4"/>
      <c r="Y2" s="4"/>
      <c r="Z2" s="4"/>
      <c r="AA2" s="4"/>
      <c r="AB2" s="4"/>
      <c r="AC2" s="4"/>
    </row>
    <row r="3" ht="32.25" customHeight="1">
      <c r="A3" s="5" t="s">
        <v>5</v>
      </c>
      <c r="B3" s="6"/>
      <c r="C3" s="7" t="s">
        <v>6</v>
      </c>
      <c r="D3" s="6"/>
      <c r="E3" s="6"/>
      <c r="F3" s="6"/>
      <c r="G3" s="6"/>
      <c r="H3" s="6"/>
      <c r="I3" s="6"/>
      <c r="J3" s="6"/>
      <c r="K3" s="6"/>
      <c r="L3" s="6"/>
      <c r="M3" s="6"/>
      <c r="N3" s="6"/>
      <c r="O3" s="6"/>
      <c r="P3" s="6"/>
      <c r="Q3" s="6"/>
      <c r="S3" s="8" t="s">
        <v>7</v>
      </c>
      <c r="T3" s="9" t="s">
        <v>8</v>
      </c>
      <c r="U3" s="10"/>
      <c r="V3" s="11" t="s">
        <v>9</v>
      </c>
      <c r="W3" s="12" t="s">
        <v>10</v>
      </c>
      <c r="X3" s="13"/>
      <c r="Y3" s="14"/>
      <c r="Z3" s="15" t="s">
        <v>11</v>
      </c>
      <c r="AA3" s="13"/>
      <c r="AB3" s="16"/>
      <c r="AC3" s="17" t="s">
        <v>12</v>
      </c>
      <c r="AD3" s="13"/>
      <c r="AE3" s="16"/>
    </row>
    <row r="4" ht="14.25" customHeight="1">
      <c r="A4" s="18" t="s">
        <v>13</v>
      </c>
      <c r="B4" s="19" t="s">
        <v>14</v>
      </c>
      <c r="C4" s="20" t="s">
        <v>15</v>
      </c>
      <c r="D4" s="13"/>
      <c r="E4" s="13"/>
      <c r="F4" s="13"/>
      <c r="G4" s="13"/>
      <c r="H4" s="13"/>
      <c r="I4" s="13"/>
      <c r="J4" s="13"/>
      <c r="K4" s="13"/>
      <c r="L4" s="13"/>
      <c r="M4" s="13"/>
      <c r="N4" s="13"/>
      <c r="O4" s="13"/>
      <c r="P4" s="13"/>
      <c r="Q4" s="16"/>
      <c r="S4" s="21"/>
      <c r="T4" s="21"/>
      <c r="U4" s="22"/>
      <c r="V4" s="21"/>
      <c r="W4" s="23"/>
      <c r="X4" s="6"/>
      <c r="Y4" s="24"/>
      <c r="Z4" s="23"/>
      <c r="AA4" s="6"/>
      <c r="AB4" s="25"/>
      <c r="AC4" s="23"/>
      <c r="AD4" s="6"/>
      <c r="AE4" s="25"/>
    </row>
    <row r="5" ht="23.25" customHeight="1">
      <c r="A5" s="21"/>
      <c r="B5" s="21"/>
      <c r="C5" s="26"/>
      <c r="Q5" s="27"/>
      <c r="S5" s="28"/>
      <c r="T5" s="28"/>
      <c r="U5" s="29"/>
      <c r="V5" s="28"/>
      <c r="W5" s="30" t="s">
        <v>16</v>
      </c>
      <c r="X5" s="30" t="s">
        <v>17</v>
      </c>
      <c r="Y5" s="30" t="s">
        <v>18</v>
      </c>
      <c r="Z5" s="31" t="s">
        <v>16</v>
      </c>
      <c r="AA5" s="31" t="s">
        <v>17</v>
      </c>
      <c r="AB5" s="31" t="s">
        <v>19</v>
      </c>
      <c r="AC5" s="32" t="s">
        <v>16</v>
      </c>
      <c r="AD5" s="32" t="s">
        <v>17</v>
      </c>
      <c r="AE5" s="32" t="s">
        <v>19</v>
      </c>
    </row>
    <row r="6" ht="30.0" customHeight="1">
      <c r="A6" s="21"/>
      <c r="B6" s="28"/>
      <c r="C6" s="23"/>
      <c r="D6" s="6"/>
      <c r="E6" s="6"/>
      <c r="F6" s="6"/>
      <c r="G6" s="6"/>
      <c r="H6" s="6"/>
      <c r="I6" s="6"/>
      <c r="J6" s="6"/>
      <c r="K6" s="6"/>
      <c r="L6" s="6"/>
      <c r="M6" s="6"/>
      <c r="N6" s="6"/>
      <c r="O6" s="6"/>
      <c r="P6" s="6"/>
      <c r="Q6" s="25"/>
      <c r="S6" s="33" t="s">
        <v>20</v>
      </c>
      <c r="T6" s="33">
        <v>974.0</v>
      </c>
      <c r="U6" s="33" t="s">
        <v>21</v>
      </c>
      <c r="V6" s="34">
        <v>0.03</v>
      </c>
      <c r="W6" s="34">
        <v>0.03</v>
      </c>
      <c r="X6" s="34">
        <v>0.03</v>
      </c>
      <c r="Y6" s="34">
        <v>0.03</v>
      </c>
      <c r="Z6" s="35">
        <v>0.2</v>
      </c>
      <c r="AA6" s="36">
        <v>0.15</v>
      </c>
      <c r="AB6" s="35">
        <v>0.1</v>
      </c>
      <c r="AC6" s="35">
        <v>0.05</v>
      </c>
      <c r="AD6" s="36">
        <v>0.05</v>
      </c>
      <c r="AE6" s="35">
        <v>0.05</v>
      </c>
    </row>
    <row r="7" ht="15.75" customHeight="1">
      <c r="A7" s="21"/>
      <c r="B7" s="37" t="s">
        <v>22</v>
      </c>
      <c r="C7" s="20" t="s">
        <v>23</v>
      </c>
      <c r="D7" s="13"/>
      <c r="E7" s="13"/>
      <c r="F7" s="13"/>
      <c r="G7" s="13"/>
      <c r="H7" s="13"/>
      <c r="I7" s="13"/>
      <c r="J7" s="13"/>
      <c r="K7" s="13"/>
      <c r="L7" s="13"/>
      <c r="M7" s="13"/>
      <c r="N7" s="13"/>
      <c r="O7" s="13"/>
      <c r="P7" s="13"/>
      <c r="Q7" s="16"/>
      <c r="S7" s="33" t="s">
        <v>24</v>
      </c>
      <c r="T7" s="33">
        <v>924.0</v>
      </c>
      <c r="U7" s="33" t="s">
        <v>21</v>
      </c>
      <c r="V7" s="34">
        <v>0.05</v>
      </c>
      <c r="W7" s="34">
        <v>0.05</v>
      </c>
      <c r="X7" s="34">
        <v>0.05</v>
      </c>
      <c r="Y7" s="34">
        <v>0.05</v>
      </c>
      <c r="Z7" s="36">
        <v>0.5</v>
      </c>
      <c r="AA7" s="36">
        <v>0.5</v>
      </c>
      <c r="AB7" s="36">
        <v>0.5</v>
      </c>
      <c r="AC7" s="36" t="s">
        <v>25</v>
      </c>
      <c r="AD7" s="36" t="s">
        <v>25</v>
      </c>
      <c r="AE7" s="36" t="s">
        <v>25</v>
      </c>
    </row>
    <row r="8" ht="15.75" customHeight="1">
      <c r="A8" s="21"/>
      <c r="B8" s="21"/>
      <c r="C8" s="26"/>
      <c r="Q8" s="27"/>
      <c r="S8" s="33" t="s">
        <v>26</v>
      </c>
      <c r="T8" s="33">
        <v>924.0</v>
      </c>
      <c r="U8" s="33" t="s">
        <v>21</v>
      </c>
      <c r="V8" s="34">
        <v>0.3</v>
      </c>
      <c r="W8" s="38">
        <v>0.4</v>
      </c>
      <c r="X8" s="38">
        <v>0.4</v>
      </c>
      <c r="Y8" s="38">
        <v>0.3</v>
      </c>
      <c r="Z8" s="39">
        <v>5.0</v>
      </c>
      <c r="AA8" s="39">
        <v>5.0</v>
      </c>
      <c r="AB8" s="39">
        <v>5.0</v>
      </c>
      <c r="AC8" s="36" t="s">
        <v>25</v>
      </c>
      <c r="AD8" s="36" t="s">
        <v>25</v>
      </c>
      <c r="AE8" s="36" t="s">
        <v>25</v>
      </c>
    </row>
    <row r="9" ht="15.75" customHeight="1">
      <c r="A9" s="21"/>
      <c r="B9" s="21"/>
      <c r="C9" s="26"/>
      <c r="Q9" s="27"/>
      <c r="S9" s="33" t="s">
        <v>27</v>
      </c>
      <c r="T9" s="33">
        <v>1816.0</v>
      </c>
      <c r="U9" s="33" t="s">
        <v>28</v>
      </c>
      <c r="V9" s="34">
        <v>35.0</v>
      </c>
      <c r="W9" s="34">
        <v>45.0</v>
      </c>
      <c r="X9" s="34">
        <v>55.0</v>
      </c>
      <c r="Y9" s="34">
        <v>60.0</v>
      </c>
      <c r="Z9" s="36">
        <v>40.0</v>
      </c>
      <c r="AA9" s="36">
        <v>47.0</v>
      </c>
      <c r="AB9" s="36">
        <v>50.0</v>
      </c>
      <c r="AC9" s="36">
        <v>45.0</v>
      </c>
      <c r="AD9" s="36">
        <v>55.0</v>
      </c>
      <c r="AE9" s="36">
        <v>60.0</v>
      </c>
    </row>
    <row r="10" ht="24.0" customHeight="1">
      <c r="A10" s="21"/>
      <c r="B10" s="21"/>
      <c r="C10" s="23"/>
      <c r="D10" s="6"/>
      <c r="E10" s="6"/>
      <c r="F10" s="6"/>
      <c r="G10" s="6"/>
      <c r="H10" s="6"/>
      <c r="I10" s="6"/>
      <c r="J10" s="6"/>
      <c r="K10" s="6"/>
      <c r="L10" s="6"/>
      <c r="M10" s="6"/>
      <c r="N10" s="6"/>
      <c r="O10" s="6"/>
      <c r="P10" s="6"/>
      <c r="Q10" s="25"/>
      <c r="S10" s="33" t="s">
        <v>29</v>
      </c>
      <c r="T10" s="33">
        <v>971.0</v>
      </c>
      <c r="U10" s="33" t="s">
        <v>28</v>
      </c>
      <c r="V10" s="34">
        <v>40.0</v>
      </c>
      <c r="W10" s="34">
        <v>38.0</v>
      </c>
      <c r="X10" s="34">
        <v>38.0</v>
      </c>
      <c r="Y10" s="34">
        <v>38.0</v>
      </c>
      <c r="Z10" s="36">
        <v>25.0</v>
      </c>
      <c r="AA10" s="36">
        <v>30.0</v>
      </c>
      <c r="AB10" s="36">
        <v>32.0</v>
      </c>
      <c r="AC10" s="36">
        <v>35.0</v>
      </c>
      <c r="AD10" s="36">
        <v>35.0</v>
      </c>
      <c r="AE10" s="36">
        <v>35.0</v>
      </c>
    </row>
    <row r="11" ht="15.75" customHeight="1">
      <c r="A11" s="21"/>
      <c r="B11" s="21"/>
      <c r="C11" s="20" t="s">
        <v>30</v>
      </c>
      <c r="D11" s="13"/>
      <c r="E11" s="13"/>
      <c r="F11" s="13"/>
      <c r="G11" s="13"/>
      <c r="H11" s="13"/>
      <c r="I11" s="13"/>
      <c r="J11" s="13"/>
      <c r="K11" s="13"/>
      <c r="L11" s="13"/>
      <c r="M11" s="13"/>
      <c r="N11" s="13"/>
      <c r="O11" s="13"/>
      <c r="P11" s="13"/>
      <c r="Q11" s="16"/>
      <c r="S11" s="33" t="s">
        <v>31</v>
      </c>
      <c r="T11" s="33">
        <v>1533.0</v>
      </c>
      <c r="U11" s="33" t="s">
        <v>21</v>
      </c>
      <c r="V11" s="34">
        <v>35.0</v>
      </c>
      <c r="W11" s="34">
        <v>20.0</v>
      </c>
      <c r="X11" s="34">
        <v>10.0</v>
      </c>
      <c r="Y11" s="34">
        <v>10.0</v>
      </c>
      <c r="Z11" s="36">
        <v>35.0</v>
      </c>
      <c r="AA11" s="36">
        <v>25.0</v>
      </c>
      <c r="AB11" s="36">
        <v>20.0</v>
      </c>
      <c r="AC11" s="36">
        <v>35.0</v>
      </c>
      <c r="AD11" s="36">
        <v>20.0</v>
      </c>
      <c r="AE11" s="36">
        <v>15.0</v>
      </c>
    </row>
    <row r="12" ht="15.75" customHeight="1">
      <c r="A12" s="21"/>
      <c r="B12" s="21"/>
      <c r="C12" s="26"/>
      <c r="Q12" s="27"/>
      <c r="S12" s="33" t="s">
        <v>32</v>
      </c>
      <c r="T12" s="33">
        <v>1500.0</v>
      </c>
      <c r="U12" s="33" t="s">
        <v>21</v>
      </c>
      <c r="V12" s="34">
        <v>0.5</v>
      </c>
      <c r="W12" s="40">
        <v>1.0</v>
      </c>
      <c r="X12" s="40">
        <v>1.0</v>
      </c>
      <c r="Y12" s="40">
        <v>0.5</v>
      </c>
      <c r="Z12" s="36" t="s">
        <v>25</v>
      </c>
      <c r="AA12" s="36" t="s">
        <v>25</v>
      </c>
      <c r="AB12" s="36" t="s">
        <v>25</v>
      </c>
      <c r="AC12" s="36">
        <v>1.5</v>
      </c>
      <c r="AD12" s="36">
        <v>1.5</v>
      </c>
      <c r="AE12" s="36">
        <v>1.5</v>
      </c>
    </row>
    <row r="13" ht="15.75" customHeight="1">
      <c r="A13" s="21"/>
      <c r="B13" s="21"/>
      <c r="C13" s="26"/>
      <c r="Q13" s="27"/>
      <c r="S13" s="33" t="s">
        <v>33</v>
      </c>
      <c r="T13" s="33">
        <v>1524.0</v>
      </c>
      <c r="U13" s="33"/>
      <c r="V13" s="34" t="s">
        <v>34</v>
      </c>
      <c r="W13" s="34" t="s">
        <v>34</v>
      </c>
      <c r="X13" s="34" t="s">
        <v>34</v>
      </c>
      <c r="Y13" s="34" t="s">
        <v>34</v>
      </c>
      <c r="Z13" s="36" t="s">
        <v>25</v>
      </c>
      <c r="AA13" s="36" t="s">
        <v>25</v>
      </c>
      <c r="AB13" s="36" t="s">
        <v>25</v>
      </c>
      <c r="AC13" s="34" t="s">
        <v>34</v>
      </c>
      <c r="AD13" s="34" t="s">
        <v>34</v>
      </c>
      <c r="AE13" s="34" t="s">
        <v>34</v>
      </c>
    </row>
    <row r="14" ht="15.75" customHeight="1">
      <c r="A14" s="21"/>
      <c r="B14" s="28"/>
      <c r="C14" s="23"/>
      <c r="D14" s="6"/>
      <c r="E14" s="6"/>
      <c r="F14" s="6"/>
      <c r="G14" s="6"/>
      <c r="H14" s="6"/>
      <c r="I14" s="6"/>
      <c r="J14" s="6"/>
      <c r="K14" s="6"/>
      <c r="L14" s="6"/>
      <c r="M14" s="6"/>
      <c r="N14" s="6"/>
      <c r="O14" s="6"/>
      <c r="P14" s="6"/>
      <c r="Q14" s="25"/>
      <c r="S14" s="33" t="s">
        <v>35</v>
      </c>
      <c r="T14" s="33">
        <v>1575.0</v>
      </c>
      <c r="U14" s="33"/>
      <c r="V14" s="41" t="s">
        <v>36</v>
      </c>
      <c r="W14" s="41" t="s">
        <v>36</v>
      </c>
      <c r="X14" s="41" t="s">
        <v>36</v>
      </c>
      <c r="Y14" s="41" t="s">
        <v>36</v>
      </c>
      <c r="Z14" s="36" t="s">
        <v>25</v>
      </c>
      <c r="AA14" s="36" t="s">
        <v>25</v>
      </c>
      <c r="AB14" s="36" t="s">
        <v>25</v>
      </c>
      <c r="AC14" s="36" t="s">
        <v>25</v>
      </c>
      <c r="AD14" s="36" t="s">
        <v>25</v>
      </c>
      <c r="AE14" s="36" t="s">
        <v>25</v>
      </c>
    </row>
    <row r="15" ht="15.75" customHeight="1">
      <c r="A15" s="21"/>
      <c r="B15" s="42" t="s">
        <v>37</v>
      </c>
      <c r="C15" s="20" t="s">
        <v>38</v>
      </c>
      <c r="D15" s="13"/>
      <c r="E15" s="13"/>
      <c r="F15" s="13"/>
      <c r="G15" s="13"/>
      <c r="H15" s="13"/>
      <c r="I15" s="13"/>
      <c r="J15" s="13"/>
      <c r="K15" s="13"/>
      <c r="L15" s="13"/>
      <c r="M15" s="13"/>
      <c r="N15" s="13"/>
      <c r="O15" s="13"/>
      <c r="P15" s="13"/>
      <c r="Q15" s="16"/>
      <c r="S15" s="43" t="s">
        <v>39</v>
      </c>
      <c r="T15" s="43">
        <v>7777.0</v>
      </c>
      <c r="U15" s="43"/>
      <c r="V15" s="44">
        <v>0.91</v>
      </c>
      <c r="W15" s="44" t="s">
        <v>25</v>
      </c>
      <c r="X15" s="44" t="s">
        <v>25</v>
      </c>
      <c r="Y15" s="44" t="s">
        <v>25</v>
      </c>
      <c r="Z15" s="45" t="s">
        <v>25</v>
      </c>
      <c r="AA15" s="45" t="s">
        <v>25</v>
      </c>
      <c r="AB15" s="45" t="s">
        <v>25</v>
      </c>
      <c r="AC15" s="45" t="s">
        <v>25</v>
      </c>
      <c r="AD15" s="45" t="s">
        <v>25</v>
      </c>
      <c r="AE15" s="45" t="s">
        <v>25</v>
      </c>
    </row>
    <row r="16" ht="15.75" customHeight="1">
      <c r="A16" s="21"/>
      <c r="B16" s="21"/>
      <c r="C16" s="26"/>
      <c r="Q16" s="27"/>
      <c r="S16" s="46" t="s">
        <v>40</v>
      </c>
      <c r="T16" s="47">
        <v>2668.0</v>
      </c>
      <c r="U16" s="33" t="s">
        <v>28</v>
      </c>
      <c r="V16" s="48">
        <v>0.08</v>
      </c>
      <c r="W16" s="48">
        <v>0.08</v>
      </c>
      <c r="X16" s="48">
        <v>0.08</v>
      </c>
      <c r="Y16" s="48">
        <v>0.08</v>
      </c>
      <c r="Z16" s="48">
        <v>0.08</v>
      </c>
      <c r="AA16" s="48">
        <v>0.08</v>
      </c>
      <c r="AB16" s="48">
        <v>0.08</v>
      </c>
      <c r="AC16" s="36" t="s">
        <v>25</v>
      </c>
      <c r="AD16" s="36" t="s">
        <v>25</v>
      </c>
      <c r="AE16" s="36" t="s">
        <v>25</v>
      </c>
    </row>
    <row r="17" ht="15.75" customHeight="1">
      <c r="A17" s="21"/>
      <c r="B17" s="21"/>
      <c r="C17" s="26"/>
      <c r="Q17" s="27"/>
    </row>
    <row r="18" ht="15.75" customHeight="1">
      <c r="A18" s="21"/>
      <c r="B18" s="21"/>
      <c r="C18" s="23"/>
      <c r="D18" s="6"/>
      <c r="E18" s="6"/>
      <c r="F18" s="6"/>
      <c r="G18" s="6"/>
      <c r="H18" s="6"/>
      <c r="I18" s="6"/>
      <c r="J18" s="6"/>
      <c r="K18" s="6"/>
      <c r="L18" s="6"/>
      <c r="M18" s="6"/>
      <c r="N18" s="6"/>
      <c r="O18" s="6"/>
      <c r="P18" s="6"/>
      <c r="Q18" s="25"/>
      <c r="S18" s="8" t="s">
        <v>7</v>
      </c>
      <c r="T18" s="9" t="s">
        <v>8</v>
      </c>
      <c r="U18" s="10"/>
      <c r="V18" s="49" t="s">
        <v>41</v>
      </c>
      <c r="W18" s="50"/>
      <c r="X18" s="50"/>
      <c r="Y18" s="50"/>
      <c r="Z18" s="51"/>
    </row>
    <row r="19" ht="15.75" customHeight="1">
      <c r="A19" s="21"/>
      <c r="B19" s="21"/>
      <c r="C19" s="20" t="s">
        <v>42</v>
      </c>
      <c r="D19" s="13"/>
      <c r="E19" s="13"/>
      <c r="F19" s="13"/>
      <c r="G19" s="13"/>
      <c r="H19" s="13"/>
      <c r="I19" s="13"/>
      <c r="J19" s="13"/>
      <c r="K19" s="13"/>
      <c r="L19" s="13"/>
      <c r="M19" s="13"/>
      <c r="N19" s="13"/>
      <c r="O19" s="13"/>
      <c r="P19" s="13"/>
      <c r="Q19" s="16"/>
      <c r="R19" s="52"/>
      <c r="S19" s="21"/>
      <c r="T19" s="21"/>
      <c r="U19" s="22"/>
      <c r="V19" s="49" t="s">
        <v>43</v>
      </c>
      <c r="W19" s="51"/>
      <c r="X19" s="49" t="s">
        <v>44</v>
      </c>
      <c r="Y19" s="50"/>
      <c r="Z19" s="51"/>
      <c r="AA19" s="52"/>
      <c r="AB19" s="52"/>
      <c r="AC19" s="52"/>
      <c r="AD19" s="52"/>
      <c r="AE19" s="52"/>
    </row>
    <row r="20" ht="24.0" customHeight="1">
      <c r="A20" s="21"/>
      <c r="B20" s="21"/>
      <c r="C20" s="26"/>
      <c r="Q20" s="27"/>
      <c r="R20" s="52"/>
      <c r="S20" s="28"/>
      <c r="T20" s="28"/>
      <c r="U20" s="29"/>
      <c r="V20" s="53" t="s">
        <v>16</v>
      </c>
      <c r="W20" s="53" t="s">
        <v>45</v>
      </c>
      <c r="X20" s="53" t="s">
        <v>46</v>
      </c>
      <c r="Y20" s="53" t="s">
        <v>16</v>
      </c>
      <c r="Z20" s="53" t="s">
        <v>45</v>
      </c>
      <c r="AA20" s="52"/>
      <c r="AB20" s="52"/>
      <c r="AC20" s="52"/>
      <c r="AD20" s="52"/>
      <c r="AE20" s="52"/>
    </row>
    <row r="21" ht="16.5" customHeight="1">
      <c r="A21" s="21"/>
      <c r="B21" s="21"/>
      <c r="C21" s="26"/>
      <c r="Q21" s="27"/>
      <c r="R21" s="52"/>
      <c r="S21" s="33" t="s">
        <v>20</v>
      </c>
      <c r="T21" s="33">
        <v>974.0</v>
      </c>
      <c r="U21" s="33" t="s">
        <v>21</v>
      </c>
      <c r="V21" s="34">
        <v>0.03</v>
      </c>
      <c r="W21" s="34">
        <v>0.03</v>
      </c>
      <c r="X21" s="34">
        <v>0.2</v>
      </c>
      <c r="Y21" s="34">
        <v>0.2</v>
      </c>
      <c r="Z21" s="34">
        <v>0.2</v>
      </c>
      <c r="AA21" s="52"/>
      <c r="AB21" s="52"/>
      <c r="AC21" s="52"/>
      <c r="AD21" s="52"/>
      <c r="AE21" s="52"/>
    </row>
    <row r="22" ht="15.75" customHeight="1">
      <c r="A22" s="21"/>
      <c r="B22" s="21"/>
      <c r="C22" s="23"/>
      <c r="D22" s="6"/>
      <c r="E22" s="6"/>
      <c r="F22" s="6"/>
      <c r="G22" s="6"/>
      <c r="H22" s="6"/>
      <c r="I22" s="6"/>
      <c r="J22" s="6"/>
      <c r="K22" s="6"/>
      <c r="L22" s="6"/>
      <c r="M22" s="6"/>
      <c r="N22" s="6"/>
      <c r="O22" s="6"/>
      <c r="P22" s="6"/>
      <c r="Q22" s="25"/>
      <c r="R22" s="52"/>
      <c r="S22" s="33" t="s">
        <v>47</v>
      </c>
      <c r="T22" s="33">
        <v>924.0</v>
      </c>
      <c r="U22" s="33" t="s">
        <v>21</v>
      </c>
      <c r="V22" s="40" t="s">
        <v>25</v>
      </c>
      <c r="W22" s="40" t="s">
        <v>25</v>
      </c>
      <c r="X22" s="40" t="s">
        <v>25</v>
      </c>
      <c r="Y22" s="40" t="s">
        <v>25</v>
      </c>
      <c r="Z22" s="40" t="s">
        <v>25</v>
      </c>
      <c r="AA22" s="52"/>
      <c r="AB22" s="52"/>
      <c r="AC22" s="52"/>
      <c r="AD22" s="52"/>
      <c r="AE22" s="52"/>
    </row>
    <row r="23" ht="15.75" customHeight="1">
      <c r="A23" s="21"/>
      <c r="B23" s="21"/>
      <c r="C23" s="20" t="s">
        <v>48</v>
      </c>
      <c r="D23" s="13"/>
      <c r="E23" s="13"/>
      <c r="F23" s="13"/>
      <c r="G23" s="13"/>
      <c r="H23" s="13"/>
      <c r="I23" s="13"/>
      <c r="J23" s="13"/>
      <c r="K23" s="13"/>
      <c r="L23" s="13"/>
      <c r="M23" s="13"/>
      <c r="N23" s="13"/>
      <c r="O23" s="13"/>
      <c r="P23" s="13"/>
      <c r="Q23" s="16"/>
      <c r="R23" s="52"/>
      <c r="S23" s="33" t="s">
        <v>49</v>
      </c>
      <c r="T23" s="33">
        <v>924.0</v>
      </c>
      <c r="U23" s="33" t="s">
        <v>21</v>
      </c>
      <c r="V23" s="38" t="s">
        <v>25</v>
      </c>
      <c r="W23" s="38" t="s">
        <v>25</v>
      </c>
      <c r="X23" s="38" t="s">
        <v>25</v>
      </c>
      <c r="Y23" s="38" t="s">
        <v>25</v>
      </c>
      <c r="Z23" s="38" t="s">
        <v>25</v>
      </c>
      <c r="AA23" s="52"/>
      <c r="AB23" s="52"/>
      <c r="AC23" s="52"/>
      <c r="AD23" s="52"/>
      <c r="AE23" s="52"/>
    </row>
    <row r="24" ht="15.75" customHeight="1">
      <c r="A24" s="21"/>
      <c r="B24" s="21"/>
      <c r="C24" s="26"/>
      <c r="Q24" s="27"/>
      <c r="R24" s="52"/>
      <c r="S24" s="33" t="s">
        <v>27</v>
      </c>
      <c r="T24" s="33">
        <v>1816.0</v>
      </c>
      <c r="U24" s="33" t="s">
        <v>28</v>
      </c>
      <c r="V24" s="34">
        <v>45.0</v>
      </c>
      <c r="W24" s="34">
        <v>55.0</v>
      </c>
      <c r="X24" s="34">
        <v>30.0</v>
      </c>
      <c r="Y24" s="34">
        <v>35.0</v>
      </c>
      <c r="Z24" s="34">
        <v>45.0</v>
      </c>
      <c r="AA24" s="52"/>
      <c r="AB24" s="52"/>
      <c r="AC24" s="52"/>
      <c r="AD24" s="52"/>
      <c r="AE24" s="52"/>
    </row>
    <row r="25" ht="15.75" customHeight="1">
      <c r="A25" s="21"/>
      <c r="B25" s="21"/>
      <c r="C25" s="26"/>
      <c r="Q25" s="27"/>
      <c r="R25" s="52"/>
      <c r="S25" s="33" t="s">
        <v>29</v>
      </c>
      <c r="T25" s="33">
        <v>971.0</v>
      </c>
      <c r="U25" s="33" t="s">
        <v>28</v>
      </c>
      <c r="V25" s="34" t="s">
        <v>25</v>
      </c>
      <c r="W25" s="34" t="s">
        <v>25</v>
      </c>
      <c r="X25" s="34">
        <v>25.0</v>
      </c>
      <c r="Y25" s="34">
        <v>25.0</v>
      </c>
      <c r="Z25" s="34">
        <v>25.0</v>
      </c>
      <c r="AA25" s="52"/>
      <c r="AB25" s="52"/>
      <c r="AC25" s="52"/>
      <c r="AD25" s="52"/>
      <c r="AE25" s="52"/>
    </row>
    <row r="26" ht="26.25" customHeight="1">
      <c r="A26" s="28"/>
      <c r="B26" s="28"/>
      <c r="C26" s="23"/>
      <c r="D26" s="6"/>
      <c r="E26" s="6"/>
      <c r="F26" s="6"/>
      <c r="G26" s="6"/>
      <c r="H26" s="6"/>
      <c r="I26" s="6"/>
      <c r="J26" s="6"/>
      <c r="K26" s="6"/>
      <c r="L26" s="6"/>
      <c r="M26" s="6"/>
      <c r="N26" s="6"/>
      <c r="O26" s="6"/>
      <c r="P26" s="6"/>
      <c r="Q26" s="25"/>
      <c r="R26" s="52"/>
      <c r="S26" s="33" t="s">
        <v>31</v>
      </c>
      <c r="T26" s="33">
        <v>1533.0</v>
      </c>
      <c r="U26" s="33" t="s">
        <v>21</v>
      </c>
      <c r="V26" s="34">
        <v>20.0</v>
      </c>
      <c r="W26" s="34">
        <v>10.0</v>
      </c>
      <c r="X26" s="34">
        <v>40.0</v>
      </c>
      <c r="Y26" s="34">
        <v>30.0</v>
      </c>
      <c r="Z26" s="34">
        <v>25.0</v>
      </c>
      <c r="AA26" s="52"/>
      <c r="AB26" s="52"/>
      <c r="AC26" s="52"/>
      <c r="AD26" s="52"/>
      <c r="AE26" s="52"/>
    </row>
    <row r="27" ht="54.75" customHeight="1">
      <c r="A27" s="54"/>
      <c r="B27" s="55"/>
      <c r="C27" s="56" t="s">
        <v>50</v>
      </c>
      <c r="D27" s="50"/>
      <c r="E27" s="50"/>
      <c r="F27" s="50"/>
      <c r="G27" s="50"/>
      <c r="H27" s="50"/>
      <c r="I27" s="50"/>
      <c r="J27" s="50"/>
      <c r="K27" s="50"/>
      <c r="L27" s="50"/>
      <c r="M27" s="50"/>
      <c r="N27" s="50"/>
      <c r="O27" s="50"/>
      <c r="P27" s="50"/>
      <c r="Q27" s="51"/>
      <c r="R27" s="52"/>
      <c r="S27" s="33"/>
      <c r="T27" s="33"/>
      <c r="U27" s="33"/>
      <c r="V27" s="34"/>
      <c r="W27" s="34"/>
      <c r="X27" s="34"/>
      <c r="Y27" s="34"/>
      <c r="Z27" s="34"/>
      <c r="AA27" s="52"/>
      <c r="AB27" s="52"/>
      <c r="AC27" s="52"/>
      <c r="AD27" s="52"/>
      <c r="AE27" s="52"/>
    </row>
    <row r="28" ht="14.25" customHeight="1">
      <c r="A28" s="57" t="s">
        <v>51</v>
      </c>
      <c r="B28" s="58" t="s">
        <v>52</v>
      </c>
      <c r="C28" s="20" t="s">
        <v>53</v>
      </c>
      <c r="D28" s="13"/>
      <c r="E28" s="13"/>
      <c r="F28" s="13"/>
      <c r="G28" s="13"/>
      <c r="H28" s="13"/>
      <c r="I28" s="13"/>
      <c r="J28" s="13"/>
      <c r="K28" s="13"/>
      <c r="L28" s="13"/>
      <c r="M28" s="13"/>
      <c r="N28" s="13"/>
      <c r="O28" s="13"/>
      <c r="P28" s="13"/>
      <c r="Q28" s="16"/>
      <c r="R28" s="52"/>
      <c r="S28" s="33" t="s">
        <v>32</v>
      </c>
      <c r="T28" s="33">
        <v>1500.0</v>
      </c>
      <c r="U28" s="33" t="s">
        <v>21</v>
      </c>
      <c r="V28" s="40" t="s">
        <v>25</v>
      </c>
      <c r="W28" s="40" t="s">
        <v>25</v>
      </c>
      <c r="X28" s="40">
        <v>2.0</v>
      </c>
      <c r="Y28" s="40">
        <v>2.0</v>
      </c>
      <c r="Z28" s="40">
        <v>2.0</v>
      </c>
      <c r="AA28" s="52"/>
      <c r="AB28" s="52"/>
      <c r="AC28" s="52"/>
      <c r="AD28" s="52"/>
      <c r="AE28" s="52"/>
    </row>
    <row r="29" ht="15.0" customHeight="1">
      <c r="A29" s="59"/>
      <c r="B29" s="21"/>
      <c r="C29" s="26"/>
      <c r="Q29" s="27"/>
      <c r="R29" s="52"/>
      <c r="S29" s="33" t="s">
        <v>33</v>
      </c>
      <c r="T29" s="33">
        <v>1524.0</v>
      </c>
      <c r="U29" s="33"/>
      <c r="V29" s="40" t="s">
        <v>25</v>
      </c>
      <c r="W29" s="40" t="s">
        <v>25</v>
      </c>
      <c r="X29" s="40" t="s">
        <v>25</v>
      </c>
      <c r="Y29" s="40" t="s">
        <v>25</v>
      </c>
      <c r="Z29" s="40" t="s">
        <v>25</v>
      </c>
      <c r="AA29" s="52"/>
      <c r="AB29" s="52"/>
      <c r="AC29" s="52"/>
      <c r="AD29" s="52"/>
      <c r="AE29" s="52"/>
    </row>
    <row r="30" ht="14.25" customHeight="1">
      <c r="A30" s="59"/>
      <c r="B30" s="28"/>
      <c r="C30" s="23"/>
      <c r="D30" s="6"/>
      <c r="E30" s="6"/>
      <c r="F30" s="6"/>
      <c r="G30" s="6"/>
      <c r="H30" s="6"/>
      <c r="I30" s="6"/>
      <c r="J30" s="6"/>
      <c r="K30" s="6"/>
      <c r="L30" s="6"/>
      <c r="M30" s="6"/>
      <c r="N30" s="6"/>
      <c r="O30" s="6"/>
      <c r="P30" s="6"/>
      <c r="Q30" s="25"/>
      <c r="S30" s="33" t="s">
        <v>35</v>
      </c>
      <c r="T30" s="33">
        <v>1575.0</v>
      </c>
      <c r="U30" s="33"/>
      <c r="V30" s="41" t="s">
        <v>36</v>
      </c>
      <c r="W30" s="41" t="s">
        <v>36</v>
      </c>
      <c r="X30" s="41" t="s">
        <v>36</v>
      </c>
      <c r="Y30" s="41" t="s">
        <v>36</v>
      </c>
      <c r="Z30" s="41" t="s">
        <v>36</v>
      </c>
    </row>
    <row r="31" ht="15.0" customHeight="1">
      <c r="A31" s="59"/>
      <c r="B31" s="58" t="s">
        <v>54</v>
      </c>
      <c r="C31" s="20" t="s">
        <v>55</v>
      </c>
      <c r="D31" s="13"/>
      <c r="E31" s="13"/>
      <c r="F31" s="13"/>
      <c r="G31" s="13"/>
      <c r="H31" s="13"/>
      <c r="I31" s="13"/>
      <c r="J31" s="13"/>
      <c r="K31" s="13"/>
      <c r="L31" s="13"/>
      <c r="M31" s="13"/>
      <c r="N31" s="13"/>
      <c r="O31" s="13"/>
      <c r="P31" s="13"/>
      <c r="Q31" s="16"/>
      <c r="S31" s="60"/>
      <c r="T31" s="60"/>
      <c r="U31" s="60"/>
      <c r="V31" s="60"/>
      <c r="W31" s="60"/>
      <c r="X31" s="60"/>
      <c r="Y31" s="60"/>
      <c r="Z31" s="60"/>
    </row>
    <row r="32" ht="14.25" customHeight="1">
      <c r="A32" s="59"/>
      <c r="B32" s="21"/>
      <c r="C32" s="26"/>
      <c r="Q32" s="27"/>
      <c r="S32" s="61"/>
      <c r="T32" s="60"/>
      <c r="U32" s="60"/>
      <c r="V32" s="60"/>
      <c r="W32" s="60"/>
      <c r="X32" s="60"/>
      <c r="Y32" s="60"/>
      <c r="Z32" s="60"/>
    </row>
    <row r="33" ht="39.0" customHeight="1">
      <c r="A33" s="62"/>
      <c r="B33" s="28"/>
      <c r="C33" s="23"/>
      <c r="D33" s="6"/>
      <c r="E33" s="6"/>
      <c r="F33" s="6"/>
      <c r="G33" s="6"/>
      <c r="H33" s="6"/>
      <c r="I33" s="6"/>
      <c r="J33" s="6"/>
      <c r="K33" s="6"/>
      <c r="L33" s="6"/>
      <c r="M33" s="6"/>
      <c r="N33" s="6"/>
      <c r="O33" s="6"/>
      <c r="P33" s="6"/>
      <c r="Q33" s="25"/>
      <c r="S33" s="60"/>
      <c r="T33" s="60"/>
      <c r="U33" s="60"/>
      <c r="V33" s="60"/>
      <c r="W33" s="60"/>
      <c r="X33" s="60"/>
      <c r="Y33" s="60"/>
      <c r="Z33" s="60"/>
    </row>
    <row r="34" ht="14.25" customHeight="1">
      <c r="A34" s="63"/>
      <c r="B34" s="64"/>
      <c r="C34" s="65"/>
      <c r="D34" s="66"/>
      <c r="E34" s="66"/>
      <c r="F34" s="66"/>
      <c r="G34" s="66"/>
      <c r="H34" s="66"/>
      <c r="I34" s="66"/>
      <c r="J34" s="66"/>
      <c r="K34" s="66"/>
      <c r="L34" s="66"/>
      <c r="M34" s="66"/>
      <c r="N34" s="66"/>
      <c r="O34" s="66"/>
      <c r="P34" s="66"/>
      <c r="Q34" s="67"/>
      <c r="S34" s="60"/>
      <c r="T34" s="60"/>
      <c r="U34" s="60"/>
      <c r="V34" s="60"/>
      <c r="W34" s="60"/>
      <c r="X34" s="60"/>
      <c r="Y34" s="60"/>
      <c r="Z34" s="68"/>
      <c r="AA34" s="68"/>
      <c r="AB34" s="68"/>
    </row>
    <row r="35" ht="15.75" customHeight="1">
      <c r="A35" s="69" t="s">
        <v>56</v>
      </c>
      <c r="B35" s="70" t="s">
        <v>57</v>
      </c>
      <c r="C35" s="20" t="s">
        <v>58</v>
      </c>
      <c r="D35" s="13"/>
      <c r="E35" s="13"/>
      <c r="F35" s="13"/>
      <c r="G35" s="13"/>
      <c r="H35" s="13"/>
      <c r="I35" s="13"/>
      <c r="J35" s="13"/>
      <c r="K35" s="13"/>
      <c r="L35" s="13"/>
      <c r="M35" s="13"/>
      <c r="N35" s="13"/>
      <c r="O35" s="13"/>
      <c r="P35" s="13"/>
      <c r="Q35" s="16"/>
      <c r="S35" s="1" t="s">
        <v>59</v>
      </c>
      <c r="T35" s="64"/>
      <c r="AF35" s="71" t="s">
        <v>60</v>
      </c>
      <c r="AG35" s="6"/>
      <c r="AH35" s="6"/>
      <c r="AI35" s="6"/>
      <c r="AJ35" s="6"/>
      <c r="AK35" s="6"/>
      <c r="AL35" s="6"/>
      <c r="AM35" s="6"/>
      <c r="AN35" s="6"/>
      <c r="AO35" s="6"/>
      <c r="AP35" s="6"/>
      <c r="AQ35" s="6"/>
    </row>
    <row r="36" ht="20.25" customHeight="1">
      <c r="A36" s="21"/>
      <c r="B36" s="21"/>
      <c r="C36" s="26"/>
      <c r="Q36" s="27"/>
      <c r="S36" s="72" t="s">
        <v>61</v>
      </c>
      <c r="T36" s="73" t="s">
        <v>62</v>
      </c>
      <c r="U36" s="73" t="s">
        <v>63</v>
      </c>
      <c r="V36" s="73" t="s">
        <v>64</v>
      </c>
      <c r="W36" s="73" t="s">
        <v>65</v>
      </c>
      <c r="X36" s="73" t="s">
        <v>66</v>
      </c>
      <c r="Y36" s="73" t="s">
        <v>67</v>
      </c>
      <c r="Z36" s="73" t="s">
        <v>68</v>
      </c>
      <c r="AA36" s="73" t="s">
        <v>69</v>
      </c>
      <c r="AB36" s="73" t="s">
        <v>70</v>
      </c>
      <c r="AC36" s="74" t="s">
        <v>71</v>
      </c>
      <c r="AD36" s="51"/>
      <c r="AF36" s="75" t="s">
        <v>61</v>
      </c>
      <c r="AG36" s="73" t="s">
        <v>62</v>
      </c>
      <c r="AH36" s="73" t="s">
        <v>63</v>
      </c>
      <c r="AI36" s="73" t="s">
        <v>64</v>
      </c>
      <c r="AJ36" s="73" t="s">
        <v>65</v>
      </c>
      <c r="AK36" s="73" t="s">
        <v>66</v>
      </c>
      <c r="AL36" s="73" t="s">
        <v>67</v>
      </c>
      <c r="AM36" s="73" t="s">
        <v>68</v>
      </c>
      <c r="AN36" s="73" t="s">
        <v>69</v>
      </c>
      <c r="AO36" s="73" t="s">
        <v>70</v>
      </c>
      <c r="AP36" s="74" t="s">
        <v>71</v>
      </c>
      <c r="AQ36" s="51"/>
    </row>
    <row r="37" ht="25.5" customHeight="1">
      <c r="A37" s="21"/>
      <c r="B37" s="28"/>
      <c r="C37" s="23"/>
      <c r="D37" s="6"/>
      <c r="E37" s="6"/>
      <c r="F37" s="6"/>
      <c r="G37" s="6"/>
      <c r="H37" s="6"/>
      <c r="I37" s="6"/>
      <c r="J37" s="6"/>
      <c r="K37" s="6"/>
      <c r="L37" s="6"/>
      <c r="M37" s="6"/>
      <c r="N37" s="6"/>
      <c r="O37" s="6"/>
      <c r="P37" s="6"/>
      <c r="Q37" s="25"/>
      <c r="S37" s="28"/>
      <c r="T37" s="76" t="s">
        <v>72</v>
      </c>
      <c r="U37" s="76" t="s">
        <v>73</v>
      </c>
      <c r="V37" s="76" t="s">
        <v>74</v>
      </c>
      <c r="W37" s="76" t="s">
        <v>75</v>
      </c>
      <c r="X37" s="76" t="s">
        <v>76</v>
      </c>
      <c r="Y37" s="76" t="s">
        <v>77</v>
      </c>
      <c r="Z37" s="76" t="s">
        <v>78</v>
      </c>
      <c r="AA37" s="76" t="s">
        <v>79</v>
      </c>
      <c r="AB37" s="76" t="s">
        <v>80</v>
      </c>
      <c r="AC37" s="77" t="s">
        <v>81</v>
      </c>
      <c r="AD37" s="51"/>
      <c r="AE37" s="78" t="s">
        <v>82</v>
      </c>
      <c r="AF37" s="28"/>
      <c r="AG37" s="76" t="s">
        <v>72</v>
      </c>
      <c r="AH37" s="76" t="s">
        <v>73</v>
      </c>
      <c r="AI37" s="76" t="s">
        <v>74</v>
      </c>
      <c r="AJ37" s="76" t="s">
        <v>75</v>
      </c>
      <c r="AK37" s="76" t="s">
        <v>76</v>
      </c>
      <c r="AL37" s="76" t="s">
        <v>77</v>
      </c>
      <c r="AM37" s="76" t="s">
        <v>78</v>
      </c>
      <c r="AN37" s="76" t="s">
        <v>79</v>
      </c>
      <c r="AO37" s="76" t="s">
        <v>80</v>
      </c>
      <c r="AP37" s="77" t="s">
        <v>83</v>
      </c>
      <c r="AQ37" s="51"/>
    </row>
    <row r="38" ht="15.75" customHeight="1">
      <c r="A38" s="21"/>
      <c r="B38" s="79" t="s">
        <v>84</v>
      </c>
      <c r="C38" s="20" t="s">
        <v>85</v>
      </c>
      <c r="D38" s="13"/>
      <c r="E38" s="13"/>
      <c r="F38" s="13"/>
      <c r="G38" s="13"/>
      <c r="H38" s="13"/>
      <c r="I38" s="13"/>
      <c r="J38" s="13"/>
      <c r="K38" s="13"/>
      <c r="L38" s="13"/>
      <c r="M38" s="13"/>
      <c r="N38" s="13"/>
      <c r="O38" s="13"/>
      <c r="P38" s="13"/>
      <c r="Q38" s="16"/>
      <c r="S38" s="80" t="s">
        <v>86</v>
      </c>
      <c r="T38" s="81">
        <v>100.0</v>
      </c>
      <c r="U38" s="81" t="s">
        <v>25</v>
      </c>
      <c r="V38" s="81" t="s">
        <v>25</v>
      </c>
      <c r="W38" s="81">
        <v>50.0</v>
      </c>
      <c r="X38" s="81">
        <v>200.0</v>
      </c>
      <c r="Y38" s="81">
        <v>5000.0</v>
      </c>
      <c r="Z38" s="81">
        <v>50.0</v>
      </c>
      <c r="AA38" s="81">
        <v>50.0</v>
      </c>
      <c r="AB38" s="81">
        <v>5.0</v>
      </c>
      <c r="AC38" s="82" t="s">
        <v>25</v>
      </c>
      <c r="AD38" s="51"/>
      <c r="AF38" s="80" t="s">
        <v>87</v>
      </c>
      <c r="AG38" s="81">
        <v>131.0</v>
      </c>
      <c r="AH38" s="81" t="s">
        <v>25</v>
      </c>
      <c r="AI38" s="81" t="s">
        <v>25</v>
      </c>
      <c r="AJ38" s="81">
        <v>120.0</v>
      </c>
      <c r="AK38" s="81">
        <v>1060.0</v>
      </c>
      <c r="AL38" s="81">
        <v>10000.0</v>
      </c>
      <c r="AM38" s="81">
        <v>146.0</v>
      </c>
      <c r="AN38" s="81">
        <v>90.0</v>
      </c>
      <c r="AO38" s="81">
        <v>4.0</v>
      </c>
      <c r="AP38" s="82">
        <v>37.0</v>
      </c>
      <c r="AQ38" s="51"/>
    </row>
    <row r="39" ht="15.75" customHeight="1">
      <c r="A39" s="21"/>
      <c r="B39" s="21"/>
      <c r="C39" s="26"/>
      <c r="Q39" s="27"/>
      <c r="S39" s="83" t="s">
        <v>87</v>
      </c>
      <c r="T39" s="84">
        <v>150.0</v>
      </c>
      <c r="U39" s="84" t="s">
        <v>25</v>
      </c>
      <c r="V39" s="84" t="s">
        <v>25</v>
      </c>
      <c r="W39" s="84">
        <v>130.0</v>
      </c>
      <c r="X39" s="84">
        <v>600.0</v>
      </c>
      <c r="Y39" s="84">
        <v>14000.0</v>
      </c>
      <c r="Z39" s="84">
        <v>280.0</v>
      </c>
      <c r="AA39" s="84">
        <v>90.0</v>
      </c>
      <c r="AB39" s="84">
        <v>20.0</v>
      </c>
      <c r="AC39" s="85">
        <v>280.0</v>
      </c>
      <c r="AD39" s="51"/>
    </row>
    <row r="40" ht="15.75" customHeight="1">
      <c r="A40" s="21"/>
      <c r="B40" s="28"/>
      <c r="C40" s="23"/>
      <c r="D40" s="6"/>
      <c r="E40" s="6"/>
      <c r="F40" s="6"/>
      <c r="G40" s="6"/>
      <c r="H40" s="6"/>
      <c r="I40" s="6"/>
      <c r="J40" s="6"/>
      <c r="K40" s="6"/>
      <c r="L40" s="6"/>
      <c r="M40" s="6"/>
      <c r="N40" s="6"/>
      <c r="O40" s="6"/>
      <c r="P40" s="6"/>
      <c r="Q40" s="25"/>
      <c r="S40" s="86" t="s">
        <v>88</v>
      </c>
      <c r="T40" s="87">
        <v>200.0</v>
      </c>
      <c r="U40" s="87" t="s">
        <v>25</v>
      </c>
      <c r="V40" s="87" t="s">
        <v>25</v>
      </c>
      <c r="W40" s="87">
        <v>150.0</v>
      </c>
      <c r="X40" s="87">
        <v>800.0</v>
      </c>
      <c r="Y40" s="87">
        <v>6000.0</v>
      </c>
      <c r="Z40" s="87">
        <v>200.0</v>
      </c>
      <c r="AA40" s="87">
        <v>150.0</v>
      </c>
      <c r="AB40" s="87" t="s">
        <v>89</v>
      </c>
      <c r="AC40" s="88" t="s">
        <v>25</v>
      </c>
      <c r="AD40" s="51"/>
    </row>
    <row r="41" ht="15.75" customHeight="1">
      <c r="A41" s="21"/>
      <c r="B41" s="89" t="s">
        <v>90</v>
      </c>
      <c r="C41" s="20" t="s">
        <v>91</v>
      </c>
      <c r="D41" s="13"/>
      <c r="E41" s="13"/>
      <c r="F41" s="13"/>
      <c r="G41" s="13"/>
      <c r="H41" s="13"/>
      <c r="I41" s="13"/>
      <c r="J41" s="13"/>
      <c r="K41" s="13"/>
      <c r="L41" s="13"/>
      <c r="M41" s="13"/>
      <c r="N41" s="13"/>
      <c r="O41" s="13"/>
      <c r="P41" s="13"/>
      <c r="Q41" s="16"/>
      <c r="S41" s="90" t="s">
        <v>92</v>
      </c>
      <c r="T41" s="91">
        <v>300.0</v>
      </c>
      <c r="U41" s="91" t="s">
        <v>25</v>
      </c>
      <c r="V41" s="91" t="s">
        <v>25</v>
      </c>
      <c r="W41" s="91">
        <v>120.0</v>
      </c>
      <c r="X41" s="91">
        <v>1100.0</v>
      </c>
      <c r="Y41" s="91">
        <v>4000.0</v>
      </c>
      <c r="Z41" s="91">
        <v>40.0</v>
      </c>
      <c r="AA41" s="91">
        <v>130.0</v>
      </c>
      <c r="AB41" s="91">
        <v>5.0</v>
      </c>
      <c r="AC41" s="92" t="s">
        <v>25</v>
      </c>
      <c r="AD41" s="51"/>
    </row>
    <row r="42" ht="15.0" customHeight="1">
      <c r="A42" s="21"/>
      <c r="B42" s="21"/>
      <c r="C42" s="26"/>
      <c r="Q42" s="27"/>
      <c r="S42" s="90" t="s">
        <v>93</v>
      </c>
      <c r="T42" s="91">
        <v>1000.0</v>
      </c>
      <c r="U42" s="91" t="s">
        <v>25</v>
      </c>
      <c r="V42" s="91" t="s">
        <v>25</v>
      </c>
      <c r="W42" s="91" t="s">
        <v>25</v>
      </c>
      <c r="X42" s="91" t="s">
        <v>25</v>
      </c>
      <c r="Y42" s="91" t="s">
        <v>25</v>
      </c>
      <c r="Z42" s="91">
        <v>30.0</v>
      </c>
      <c r="AA42" s="91" t="s">
        <v>25</v>
      </c>
      <c r="AB42" s="91">
        <v>16.0</v>
      </c>
      <c r="AC42" s="92" t="s">
        <v>25</v>
      </c>
      <c r="AD42" s="51"/>
      <c r="AF42" s="1" t="s">
        <v>94</v>
      </c>
    </row>
    <row r="43" ht="20.25" customHeight="1">
      <c r="A43" s="28"/>
      <c r="B43" s="28"/>
      <c r="C43" s="23"/>
      <c r="D43" s="6"/>
      <c r="E43" s="6"/>
      <c r="F43" s="6"/>
      <c r="G43" s="6"/>
      <c r="H43" s="6"/>
      <c r="I43" s="6"/>
      <c r="J43" s="6"/>
      <c r="K43" s="6"/>
      <c r="L43" s="6"/>
      <c r="M43" s="6"/>
      <c r="N43" s="6"/>
      <c r="O43" s="6"/>
      <c r="P43" s="6"/>
      <c r="Q43" s="25"/>
      <c r="S43" s="93" t="s">
        <v>95</v>
      </c>
      <c r="T43" s="91">
        <v>300.0</v>
      </c>
      <c r="U43" s="91" t="s">
        <v>25</v>
      </c>
      <c r="V43" s="91" t="s">
        <v>25</v>
      </c>
      <c r="W43" s="91">
        <v>30.0</v>
      </c>
      <c r="X43" s="91">
        <v>300.0</v>
      </c>
      <c r="Y43" s="91">
        <v>900.0</v>
      </c>
      <c r="Z43" s="91">
        <v>10.0</v>
      </c>
      <c r="AA43" s="91">
        <v>50.0</v>
      </c>
      <c r="AB43" s="91">
        <v>2.0</v>
      </c>
      <c r="AC43" s="92" t="s">
        <v>25</v>
      </c>
      <c r="AD43" s="51"/>
      <c r="AF43" s="94"/>
      <c r="AG43" s="95" t="s">
        <v>96</v>
      </c>
      <c r="AH43" s="51"/>
      <c r="AI43" s="95" t="s">
        <v>97</v>
      </c>
      <c r="AJ43" s="51"/>
    </row>
    <row r="44" ht="15.75" customHeight="1">
      <c r="A44" s="96" t="s">
        <v>98</v>
      </c>
      <c r="B44" s="16"/>
      <c r="C44" s="20" t="s">
        <v>99</v>
      </c>
      <c r="D44" s="13"/>
      <c r="E44" s="13"/>
      <c r="F44" s="13"/>
      <c r="G44" s="13"/>
      <c r="H44" s="13"/>
      <c r="I44" s="13"/>
      <c r="J44" s="13"/>
      <c r="K44" s="13"/>
      <c r="L44" s="13"/>
      <c r="M44" s="13"/>
      <c r="N44" s="13"/>
      <c r="O44" s="13"/>
      <c r="P44" s="13"/>
      <c r="Q44" s="16"/>
      <c r="S44" s="93" t="s">
        <v>100</v>
      </c>
      <c r="T44" s="91">
        <v>392.0</v>
      </c>
      <c r="U44" s="91" t="s">
        <v>25</v>
      </c>
      <c r="V44" s="91" t="s">
        <v>25</v>
      </c>
      <c r="W44" s="91">
        <v>216.0</v>
      </c>
      <c r="X44" s="91">
        <v>927.0</v>
      </c>
      <c r="Y44" s="91">
        <v>11578.0</v>
      </c>
      <c r="Z44" s="91">
        <v>70.0</v>
      </c>
      <c r="AA44" s="91">
        <v>121.0</v>
      </c>
      <c r="AB44" s="91">
        <v>5.0</v>
      </c>
      <c r="AC44" s="92" t="s">
        <v>25</v>
      </c>
      <c r="AD44" s="51"/>
      <c r="AF44" s="94" t="s">
        <v>101</v>
      </c>
      <c r="AG44" s="94" t="s">
        <v>102</v>
      </c>
      <c r="AH44" s="94" t="s">
        <v>103</v>
      </c>
      <c r="AI44" s="94" t="s">
        <v>102</v>
      </c>
      <c r="AJ44" s="94" t="s">
        <v>103</v>
      </c>
    </row>
    <row r="45" ht="15.75" customHeight="1">
      <c r="A45" s="26"/>
      <c r="B45" s="27"/>
      <c r="C45" s="26"/>
      <c r="Q45" s="27"/>
      <c r="S45" s="93" t="s">
        <v>104</v>
      </c>
      <c r="T45" s="91">
        <v>500.0</v>
      </c>
      <c r="U45" s="91" t="s">
        <v>25</v>
      </c>
      <c r="V45" s="91" t="s">
        <v>25</v>
      </c>
      <c r="W45" s="91">
        <v>30.0</v>
      </c>
      <c r="X45" s="91">
        <v>100.0</v>
      </c>
      <c r="Y45" s="91">
        <v>500.0</v>
      </c>
      <c r="Z45" s="91">
        <v>20.0</v>
      </c>
      <c r="AA45" s="91">
        <v>25.0</v>
      </c>
      <c r="AB45" s="91">
        <v>10.0</v>
      </c>
      <c r="AC45" s="92" t="s">
        <v>25</v>
      </c>
      <c r="AD45" s="51"/>
      <c r="AF45" s="94" t="s">
        <v>105</v>
      </c>
      <c r="AG45" s="48">
        <v>0.63</v>
      </c>
      <c r="AH45" s="97">
        <v>0.87</v>
      </c>
      <c r="AI45" s="97">
        <v>0.42</v>
      </c>
      <c r="AJ45" s="97">
        <v>0.57</v>
      </c>
    </row>
    <row r="46" ht="15.75" customHeight="1">
      <c r="A46" s="26"/>
      <c r="B46" s="27"/>
      <c r="C46" s="26"/>
      <c r="Q46" s="27"/>
      <c r="S46" s="93" t="s">
        <v>106</v>
      </c>
      <c r="T46" s="91" t="s">
        <v>25</v>
      </c>
      <c r="U46" s="91" t="s">
        <v>25</v>
      </c>
      <c r="V46" s="91" t="s">
        <v>25</v>
      </c>
      <c r="W46" s="91" t="s">
        <v>25</v>
      </c>
      <c r="X46" s="91" t="s">
        <v>25</v>
      </c>
      <c r="Y46" s="91" t="s">
        <v>25</v>
      </c>
      <c r="Z46" s="91" t="s">
        <v>25</v>
      </c>
      <c r="AA46" s="91" t="s">
        <v>25</v>
      </c>
      <c r="AB46" s="91" t="s">
        <v>25</v>
      </c>
      <c r="AC46" s="92" t="s">
        <v>25</v>
      </c>
      <c r="AD46" s="51"/>
      <c r="AF46" s="94" t="s">
        <v>107</v>
      </c>
      <c r="AG46" s="48">
        <v>1.51</v>
      </c>
      <c r="AH46" s="97">
        <v>2.33</v>
      </c>
      <c r="AI46" s="97">
        <v>0.63</v>
      </c>
      <c r="AJ46" s="97">
        <v>0.87</v>
      </c>
    </row>
    <row r="47" ht="15.75" customHeight="1">
      <c r="A47" s="23"/>
      <c r="B47" s="25"/>
      <c r="C47" s="23"/>
      <c r="D47" s="6"/>
      <c r="E47" s="6"/>
      <c r="F47" s="6"/>
      <c r="G47" s="6"/>
      <c r="H47" s="6"/>
      <c r="I47" s="6"/>
      <c r="J47" s="6"/>
      <c r="K47" s="6"/>
      <c r="L47" s="6"/>
      <c r="M47" s="6"/>
      <c r="N47" s="6"/>
      <c r="O47" s="6"/>
      <c r="P47" s="6"/>
      <c r="Q47" s="25"/>
      <c r="S47" s="98" t="s">
        <v>108</v>
      </c>
      <c r="T47" s="99" t="s">
        <v>25</v>
      </c>
      <c r="U47" s="99" t="s">
        <v>25</v>
      </c>
      <c r="V47" s="99" t="s">
        <v>25</v>
      </c>
      <c r="W47" s="99" t="s">
        <v>25</v>
      </c>
      <c r="X47" s="99" t="s">
        <v>25</v>
      </c>
      <c r="Y47" s="99" t="s">
        <v>25</v>
      </c>
      <c r="Z47" s="99" t="s">
        <v>25</v>
      </c>
      <c r="AA47" s="99" t="s">
        <v>25</v>
      </c>
      <c r="AB47" s="99" t="s">
        <v>25</v>
      </c>
      <c r="AC47" s="100" t="s">
        <v>25</v>
      </c>
      <c r="AD47" s="51"/>
      <c r="AF47" s="94" t="s">
        <v>75</v>
      </c>
      <c r="AG47" s="48" t="s">
        <v>109</v>
      </c>
      <c r="AH47" s="94"/>
      <c r="AI47" s="97" t="s">
        <v>110</v>
      </c>
      <c r="AJ47" s="97"/>
    </row>
    <row r="48" ht="11.25" customHeight="1">
      <c r="A48" s="101"/>
      <c r="B48" s="102"/>
      <c r="C48" s="103"/>
      <c r="D48" s="104"/>
      <c r="E48" s="104"/>
      <c r="F48" s="104"/>
      <c r="G48" s="104"/>
      <c r="H48" s="104"/>
      <c r="I48" s="104"/>
      <c r="J48" s="104"/>
      <c r="K48" s="104"/>
      <c r="L48" s="104"/>
      <c r="M48" s="104"/>
      <c r="N48" s="104"/>
      <c r="O48" s="104"/>
      <c r="P48" s="104"/>
      <c r="Q48" s="105"/>
      <c r="AF48" s="94" t="s">
        <v>78</v>
      </c>
      <c r="AG48" s="48" t="s">
        <v>111</v>
      </c>
      <c r="AH48" s="94"/>
      <c r="AI48" s="97" t="s">
        <v>112</v>
      </c>
      <c r="AJ48" s="97"/>
    </row>
    <row r="49" ht="15.75" customHeight="1">
      <c r="A49" s="106" t="s">
        <v>108</v>
      </c>
      <c r="B49" s="16"/>
      <c r="C49" s="20" t="s">
        <v>113</v>
      </c>
      <c r="D49" s="13"/>
      <c r="E49" s="13"/>
      <c r="F49" s="13"/>
      <c r="G49" s="13"/>
      <c r="H49" s="13"/>
      <c r="I49" s="13"/>
      <c r="J49" s="13"/>
      <c r="K49" s="13"/>
      <c r="L49" s="13"/>
      <c r="M49" s="13"/>
      <c r="N49" s="13"/>
      <c r="O49" s="13"/>
      <c r="P49" s="13"/>
      <c r="Q49" s="16"/>
      <c r="AF49" s="94" t="s">
        <v>80</v>
      </c>
      <c r="AG49" s="48" t="s">
        <v>114</v>
      </c>
      <c r="AH49" s="94"/>
      <c r="AI49" s="97" t="s">
        <v>115</v>
      </c>
      <c r="AJ49" s="97"/>
    </row>
    <row r="50" ht="15.75" customHeight="1">
      <c r="A50" s="23"/>
      <c r="B50" s="25"/>
      <c r="C50" s="23"/>
      <c r="D50" s="6"/>
      <c r="E50" s="6"/>
      <c r="F50" s="6"/>
      <c r="G50" s="6"/>
      <c r="H50" s="6"/>
      <c r="I50" s="6"/>
      <c r="J50" s="6"/>
      <c r="K50" s="6"/>
      <c r="L50" s="6"/>
      <c r="M50" s="6"/>
      <c r="N50" s="6"/>
      <c r="O50" s="6"/>
      <c r="P50" s="6"/>
      <c r="Q50" s="25"/>
      <c r="AF50" s="94" t="s">
        <v>116</v>
      </c>
      <c r="AG50" s="48" t="s">
        <v>117</v>
      </c>
      <c r="AH50" s="94"/>
      <c r="AI50" s="97" t="s">
        <v>118</v>
      </c>
      <c r="AJ50" s="97"/>
    </row>
    <row r="51" ht="17.25" customHeight="1">
      <c r="A51" s="107"/>
      <c r="B51" s="108"/>
      <c r="C51" s="109"/>
      <c r="D51" s="109"/>
      <c r="E51" s="109"/>
      <c r="F51" s="109"/>
      <c r="G51" s="109"/>
      <c r="H51" s="109"/>
      <c r="I51" s="109"/>
      <c r="J51" s="109"/>
      <c r="K51" s="109"/>
      <c r="L51" s="109"/>
      <c r="M51" s="109"/>
      <c r="N51" s="109"/>
      <c r="O51" s="109"/>
      <c r="P51" s="109"/>
      <c r="Q51" s="109"/>
      <c r="AF51" s="94" t="s">
        <v>119</v>
      </c>
      <c r="AG51" s="94"/>
      <c r="AH51" s="94"/>
      <c r="AI51" s="94"/>
      <c r="AJ51" s="94"/>
    </row>
    <row r="52" ht="21.0" customHeight="1">
      <c r="A52" s="110" t="s">
        <v>120</v>
      </c>
      <c r="B52" s="111" t="s">
        <v>121</v>
      </c>
      <c r="C52" s="112" t="s">
        <v>122</v>
      </c>
      <c r="D52" s="13"/>
      <c r="E52" s="13"/>
      <c r="F52" s="13"/>
      <c r="G52" s="13"/>
      <c r="H52" s="13"/>
      <c r="I52" s="13"/>
      <c r="J52" s="13"/>
      <c r="K52" s="13"/>
      <c r="L52" s="13"/>
      <c r="M52" s="13"/>
      <c r="N52" s="13"/>
      <c r="O52" s="13"/>
      <c r="P52" s="13"/>
      <c r="Q52" s="16"/>
    </row>
    <row r="53" ht="55.5" customHeight="1">
      <c r="A53" s="21"/>
      <c r="B53" s="28"/>
      <c r="C53" s="23"/>
      <c r="D53" s="6"/>
      <c r="E53" s="6"/>
      <c r="F53" s="6"/>
      <c r="G53" s="6"/>
      <c r="H53" s="6"/>
      <c r="I53" s="6"/>
      <c r="J53" s="6"/>
      <c r="K53" s="6"/>
      <c r="L53" s="6"/>
      <c r="M53" s="6"/>
      <c r="N53" s="6"/>
      <c r="O53" s="6"/>
      <c r="P53" s="6"/>
      <c r="Q53" s="25"/>
    </row>
    <row r="54" ht="27.0" customHeight="1">
      <c r="A54" s="21"/>
      <c r="B54" s="111" t="s">
        <v>123</v>
      </c>
      <c r="C54" s="113" t="s">
        <v>124</v>
      </c>
      <c r="D54" s="13"/>
      <c r="E54" s="13"/>
      <c r="F54" s="13"/>
      <c r="G54" s="13"/>
      <c r="H54" s="13"/>
      <c r="I54" s="13"/>
      <c r="J54" s="13"/>
      <c r="K54" s="13"/>
      <c r="L54" s="13"/>
      <c r="M54" s="13"/>
      <c r="N54" s="13"/>
      <c r="O54" s="13"/>
      <c r="P54" s="13"/>
      <c r="Q54" s="16"/>
    </row>
    <row r="55" ht="59.25" customHeight="1">
      <c r="A55" s="28"/>
      <c r="B55" s="28"/>
      <c r="C55" s="23"/>
      <c r="D55" s="6"/>
      <c r="E55" s="6"/>
      <c r="F55" s="6"/>
      <c r="G55" s="6"/>
      <c r="H55" s="6"/>
      <c r="I55" s="6"/>
      <c r="J55" s="6"/>
      <c r="K55" s="6"/>
      <c r="L55" s="6"/>
      <c r="M55" s="6"/>
      <c r="N55" s="6"/>
      <c r="O55" s="6"/>
      <c r="P55" s="6"/>
      <c r="Q55" s="25"/>
    </row>
    <row r="56" ht="15.0" customHeight="1">
      <c r="A56" s="114"/>
      <c r="B56" s="64"/>
      <c r="C56" s="115"/>
      <c r="D56" s="13"/>
      <c r="E56" s="13"/>
      <c r="F56" s="13"/>
      <c r="G56" s="13"/>
      <c r="H56" s="13"/>
      <c r="I56" s="13"/>
      <c r="J56" s="13"/>
      <c r="K56" s="13"/>
      <c r="L56" s="13"/>
      <c r="M56" s="13"/>
      <c r="N56" s="13"/>
      <c r="O56" s="13"/>
      <c r="P56" s="13"/>
      <c r="Q56" s="16"/>
    </row>
    <row r="57" ht="15.0" customHeight="1">
      <c r="A57" s="114"/>
      <c r="B57" s="64"/>
      <c r="C57" s="26"/>
      <c r="Q57" s="27"/>
    </row>
    <row r="58" ht="14.25" customHeight="1">
      <c r="B58" s="64"/>
      <c r="C58" s="23"/>
      <c r="D58" s="6"/>
      <c r="E58" s="6"/>
      <c r="F58" s="6"/>
      <c r="G58" s="6"/>
      <c r="H58" s="6"/>
      <c r="I58" s="6"/>
      <c r="J58" s="6"/>
      <c r="K58" s="6"/>
      <c r="L58" s="6"/>
      <c r="M58" s="6"/>
      <c r="N58" s="6"/>
      <c r="O58" s="6"/>
      <c r="P58" s="6"/>
      <c r="Q58" s="25"/>
    </row>
    <row r="59" ht="14.25" customHeight="1">
      <c r="A59" s="116" t="s">
        <v>125</v>
      </c>
      <c r="B59" s="50"/>
      <c r="C59" s="50"/>
      <c r="D59" s="50"/>
      <c r="E59" s="50"/>
      <c r="F59" s="50"/>
      <c r="G59" s="50"/>
      <c r="H59" s="50"/>
      <c r="I59" s="50"/>
      <c r="J59" s="50"/>
      <c r="K59" s="50"/>
      <c r="L59" s="50"/>
      <c r="M59" s="50"/>
      <c r="N59" s="50"/>
      <c r="O59" s="50"/>
      <c r="P59" s="50"/>
      <c r="Q59" s="51"/>
    </row>
    <row r="60" ht="21.75" customHeight="1">
      <c r="A60" s="117" t="s">
        <v>126</v>
      </c>
      <c r="B60" s="51"/>
      <c r="C60" s="117" t="s">
        <v>127</v>
      </c>
      <c r="D60" s="50"/>
      <c r="E60" s="50"/>
      <c r="F60" s="50"/>
      <c r="G60" s="50"/>
      <c r="H60" s="50"/>
      <c r="I60" s="50"/>
      <c r="J60" s="50"/>
      <c r="K60" s="50"/>
      <c r="L60" s="50"/>
      <c r="M60" s="50"/>
      <c r="N60" s="50"/>
      <c r="O60" s="50"/>
      <c r="P60" s="50"/>
      <c r="Q60" s="51"/>
      <c r="S60" s="118" t="s">
        <v>128</v>
      </c>
    </row>
    <row r="61" ht="21.75" customHeight="1">
      <c r="A61" s="117" t="s">
        <v>129</v>
      </c>
      <c r="B61" s="51"/>
      <c r="C61" s="117" t="s">
        <v>130</v>
      </c>
      <c r="D61" s="50"/>
      <c r="E61" s="50"/>
      <c r="F61" s="50"/>
      <c r="G61" s="50"/>
      <c r="H61" s="50"/>
      <c r="I61" s="50"/>
      <c r="J61" s="50"/>
      <c r="K61" s="50"/>
      <c r="L61" s="50"/>
      <c r="M61" s="50"/>
      <c r="N61" s="50"/>
      <c r="O61" s="50"/>
      <c r="P61" s="50"/>
      <c r="Q61" s="51"/>
      <c r="S61" s="118" t="s">
        <v>131</v>
      </c>
      <c r="U61" s="119">
        <v>12.0</v>
      </c>
      <c r="V61" s="1" t="s">
        <v>132</v>
      </c>
      <c r="W61" s="120"/>
    </row>
    <row r="62" ht="21.75" customHeight="1">
      <c r="A62" s="117" t="s">
        <v>133</v>
      </c>
      <c r="B62" s="51"/>
      <c r="C62" s="117" t="s">
        <v>134</v>
      </c>
      <c r="D62" s="50"/>
      <c r="E62" s="50"/>
      <c r="F62" s="50"/>
      <c r="G62" s="50"/>
      <c r="H62" s="50"/>
      <c r="I62" s="50"/>
      <c r="J62" s="50"/>
      <c r="K62" s="50"/>
      <c r="L62" s="50"/>
      <c r="M62" s="50"/>
      <c r="N62" s="50"/>
      <c r="O62" s="50"/>
      <c r="P62" s="50"/>
      <c r="Q62" s="51"/>
      <c r="S62" s="121" t="s">
        <v>135</v>
      </c>
      <c r="T62" s="122">
        <f>(1.51-LOG10(U61/1000))/0.0035</f>
        <v>980.2339297</v>
      </c>
      <c r="U62" s="123"/>
      <c r="V62" s="124" t="s">
        <v>136</v>
      </c>
    </row>
    <row r="63" ht="21.75" customHeight="1">
      <c r="A63" s="117" t="s">
        <v>137</v>
      </c>
      <c r="B63" s="51"/>
      <c r="C63" s="117" t="s">
        <v>138</v>
      </c>
      <c r="D63" s="50"/>
      <c r="E63" s="50"/>
      <c r="F63" s="50"/>
      <c r="G63" s="50"/>
      <c r="H63" s="50"/>
      <c r="I63" s="50"/>
      <c r="J63" s="50"/>
      <c r="K63" s="50"/>
      <c r="L63" s="50"/>
      <c r="M63" s="50"/>
      <c r="N63" s="50"/>
      <c r="O63" s="50"/>
      <c r="P63" s="50"/>
      <c r="Q63" s="51"/>
    </row>
    <row r="64" ht="21.75" customHeight="1">
      <c r="A64" s="2"/>
      <c r="B64" s="2"/>
      <c r="C64" s="2" t="s">
        <v>139</v>
      </c>
      <c r="D64" s="2"/>
      <c r="E64" s="2"/>
      <c r="F64" s="2"/>
      <c r="G64" s="2"/>
      <c r="H64" s="2"/>
      <c r="I64" s="2"/>
      <c r="J64" s="2"/>
      <c r="K64" s="2"/>
      <c r="L64" s="2"/>
      <c r="M64" s="2"/>
      <c r="N64" s="2"/>
      <c r="O64" s="2"/>
      <c r="P64" s="2"/>
      <c r="Q64" s="2"/>
    </row>
    <row r="65" ht="14.25" customHeight="1">
      <c r="B65" s="64"/>
    </row>
    <row r="66" ht="14.25" customHeight="1">
      <c r="A66" s="125" t="s">
        <v>140</v>
      </c>
      <c r="B66" s="50"/>
      <c r="C66" s="50"/>
      <c r="D66" s="50"/>
      <c r="E66" s="50"/>
      <c r="F66" s="50"/>
      <c r="G66" s="50"/>
      <c r="H66" s="50"/>
      <c r="I66" s="50"/>
      <c r="J66" s="50"/>
      <c r="K66" s="50"/>
      <c r="L66" s="50"/>
      <c r="M66" s="50"/>
      <c r="N66" s="50"/>
      <c r="O66" s="50"/>
      <c r="P66" s="50"/>
      <c r="Q66" s="51"/>
    </row>
    <row r="67" ht="15.0" customHeight="1">
      <c r="A67" s="126" t="s">
        <v>141</v>
      </c>
      <c r="B67" s="16"/>
      <c r="C67" s="115" t="s">
        <v>142</v>
      </c>
      <c r="D67" s="13"/>
      <c r="E67" s="13"/>
      <c r="F67" s="13"/>
      <c r="G67" s="13"/>
      <c r="H67" s="13"/>
      <c r="I67" s="13"/>
      <c r="J67" s="13"/>
      <c r="K67" s="13"/>
      <c r="L67" s="13"/>
      <c r="M67" s="13"/>
      <c r="N67" s="13"/>
      <c r="O67" s="13"/>
      <c r="P67" s="13"/>
      <c r="Q67" s="16"/>
      <c r="R67" s="127"/>
    </row>
    <row r="68" ht="14.25" customHeight="1">
      <c r="A68" s="26"/>
      <c r="B68" s="27"/>
      <c r="C68" s="26"/>
      <c r="Q68" s="27"/>
    </row>
    <row r="69" ht="14.25" customHeight="1">
      <c r="A69" s="23"/>
      <c r="B69" s="25"/>
      <c r="C69" s="23"/>
      <c r="D69" s="6"/>
      <c r="E69" s="6"/>
      <c r="F69" s="6"/>
      <c r="G69" s="6"/>
      <c r="H69" s="6"/>
      <c r="I69" s="6"/>
      <c r="J69" s="6"/>
      <c r="K69" s="6"/>
      <c r="L69" s="6"/>
      <c r="M69" s="6"/>
      <c r="N69" s="6"/>
      <c r="O69" s="6"/>
      <c r="P69" s="6"/>
      <c r="Q69" s="25"/>
    </row>
    <row r="70" ht="15.0" customHeight="1">
      <c r="A70" s="128" t="s">
        <v>143</v>
      </c>
      <c r="B70" s="27"/>
      <c r="C70" s="115" t="s">
        <v>144</v>
      </c>
      <c r="D70" s="13"/>
      <c r="E70" s="13"/>
      <c r="F70" s="13"/>
      <c r="G70" s="13"/>
      <c r="H70" s="13"/>
      <c r="I70" s="13"/>
      <c r="J70" s="13"/>
      <c r="K70" s="13"/>
      <c r="L70" s="13"/>
      <c r="M70" s="13"/>
      <c r="N70" s="13"/>
      <c r="O70" s="13"/>
      <c r="P70" s="13"/>
      <c r="Q70" s="16"/>
      <c r="R70" s="52"/>
    </row>
    <row r="71" ht="14.25" customHeight="1">
      <c r="B71" s="27"/>
      <c r="C71" s="26"/>
      <c r="Q71" s="27"/>
      <c r="R71" s="52"/>
    </row>
    <row r="72" ht="14.25" customHeight="1">
      <c r="B72" s="27"/>
      <c r="C72" s="23"/>
      <c r="D72" s="6"/>
      <c r="E72" s="6"/>
      <c r="F72" s="6"/>
      <c r="G72" s="6"/>
      <c r="H72" s="6"/>
      <c r="I72" s="6"/>
      <c r="J72" s="6"/>
      <c r="K72" s="6"/>
      <c r="L72" s="6"/>
      <c r="M72" s="6"/>
      <c r="N72" s="6"/>
      <c r="O72" s="6"/>
      <c r="P72" s="6"/>
      <c r="Q72" s="25"/>
      <c r="R72" s="127"/>
    </row>
    <row r="73" ht="45.0" customHeight="1">
      <c r="A73" s="129" t="s">
        <v>145</v>
      </c>
      <c r="B73" s="51"/>
      <c r="C73" s="130" t="s">
        <v>146</v>
      </c>
      <c r="D73" s="50"/>
      <c r="E73" s="50"/>
      <c r="F73" s="50"/>
      <c r="G73" s="50"/>
      <c r="H73" s="50"/>
      <c r="I73" s="50"/>
      <c r="J73" s="50"/>
      <c r="K73" s="50"/>
      <c r="L73" s="50"/>
      <c r="M73" s="50"/>
      <c r="N73" s="50"/>
      <c r="O73" s="50"/>
      <c r="P73" s="50"/>
      <c r="Q73" s="51"/>
    </row>
    <row r="74" ht="14.25" customHeight="1">
      <c r="B74" s="64"/>
    </row>
    <row r="75" ht="14.25" customHeight="1">
      <c r="A75" s="131" t="s">
        <v>147</v>
      </c>
      <c r="B75" s="50"/>
      <c r="C75" s="50"/>
      <c r="D75" s="50"/>
      <c r="E75" s="50"/>
      <c r="F75" s="50"/>
      <c r="G75" s="50"/>
      <c r="H75" s="50"/>
      <c r="I75" s="50"/>
      <c r="J75" s="50"/>
      <c r="K75" s="50"/>
      <c r="L75" s="50"/>
      <c r="M75" s="50"/>
      <c r="N75" s="50"/>
      <c r="O75" s="50"/>
      <c r="P75" s="50"/>
      <c r="Q75" s="51"/>
    </row>
    <row r="76" ht="17.25" customHeight="1">
      <c r="A76" s="95" t="s">
        <v>148</v>
      </c>
      <c r="B76" s="51"/>
      <c r="C76" s="117" t="s">
        <v>149</v>
      </c>
      <c r="D76" s="50"/>
      <c r="E76" s="50"/>
      <c r="F76" s="50"/>
      <c r="G76" s="50"/>
      <c r="H76" s="50"/>
      <c r="I76" s="50"/>
      <c r="J76" s="50"/>
      <c r="K76" s="50"/>
      <c r="L76" s="50"/>
      <c r="M76" s="50"/>
      <c r="N76" s="50"/>
      <c r="O76" s="50"/>
      <c r="P76" s="50"/>
      <c r="Q76" s="51"/>
    </row>
    <row r="77" ht="17.25" customHeight="1">
      <c r="A77" s="95" t="s">
        <v>150</v>
      </c>
      <c r="B77" s="51"/>
      <c r="C77" s="117" t="s">
        <v>151</v>
      </c>
      <c r="D77" s="50"/>
      <c r="E77" s="50"/>
      <c r="F77" s="50"/>
      <c r="G77" s="50"/>
      <c r="H77" s="50"/>
      <c r="I77" s="50"/>
      <c r="J77" s="50"/>
      <c r="K77" s="50"/>
      <c r="L77" s="50"/>
      <c r="M77" s="50"/>
      <c r="N77" s="50"/>
      <c r="O77" s="50"/>
      <c r="P77" s="50"/>
      <c r="Q77" s="51"/>
    </row>
    <row r="78" ht="14.25" customHeight="1">
      <c r="A78" s="64"/>
      <c r="B78" s="64"/>
      <c r="C78" s="132" t="s">
        <v>152</v>
      </c>
      <c r="D78" s="13"/>
      <c r="E78" s="13"/>
      <c r="F78" s="13"/>
      <c r="G78" s="13"/>
      <c r="H78" s="13"/>
      <c r="I78" s="13"/>
      <c r="J78" s="13"/>
      <c r="K78" s="13"/>
      <c r="L78" s="13"/>
      <c r="M78" s="13"/>
      <c r="N78" s="13"/>
      <c r="O78" s="13"/>
      <c r="P78" s="13"/>
      <c r="Q78" s="16"/>
    </row>
    <row r="79" ht="14.25" customHeight="1">
      <c r="A79" s="133"/>
      <c r="B79" s="133"/>
      <c r="C79" s="134"/>
      <c r="D79" s="134"/>
      <c r="E79" s="134"/>
      <c r="F79" s="134"/>
      <c r="G79" s="134"/>
      <c r="H79" s="134"/>
      <c r="I79" s="134"/>
      <c r="J79" s="134"/>
      <c r="K79" s="134"/>
      <c r="L79" s="134"/>
      <c r="M79" s="134"/>
      <c r="N79" s="134"/>
      <c r="O79" s="134"/>
      <c r="P79" s="134"/>
      <c r="Q79" s="134"/>
    </row>
    <row r="80" ht="14.25" customHeight="1">
      <c r="A80" s="135" t="s">
        <v>153</v>
      </c>
      <c r="B80" s="136"/>
      <c r="C80" s="136"/>
      <c r="D80" s="136"/>
      <c r="E80" s="136"/>
      <c r="F80" s="136"/>
      <c r="G80" s="136"/>
      <c r="H80" s="136"/>
      <c r="I80" s="136"/>
      <c r="J80" s="136"/>
      <c r="K80" s="136"/>
      <c r="L80" s="136"/>
      <c r="M80" s="136"/>
      <c r="N80" s="136"/>
      <c r="O80" s="136"/>
      <c r="P80" s="136"/>
      <c r="Q80" s="137"/>
    </row>
    <row r="81" ht="14.25" customHeight="1">
      <c r="A81" s="95" t="s">
        <v>154</v>
      </c>
      <c r="B81" s="51"/>
      <c r="C81" s="117" t="s">
        <v>155</v>
      </c>
      <c r="D81" s="50"/>
      <c r="E81" s="50"/>
      <c r="F81" s="50"/>
      <c r="G81" s="50"/>
      <c r="H81" s="50"/>
      <c r="I81" s="50"/>
      <c r="J81" s="50"/>
      <c r="K81" s="50"/>
      <c r="L81" s="50"/>
      <c r="M81" s="50"/>
      <c r="N81" s="50"/>
      <c r="O81" s="50"/>
      <c r="P81" s="50"/>
      <c r="Q81" s="51"/>
    </row>
    <row r="82" ht="14.25" customHeight="1">
      <c r="A82" s="95" t="s">
        <v>156</v>
      </c>
      <c r="B82" s="51"/>
      <c r="C82" s="117" t="s">
        <v>157</v>
      </c>
      <c r="D82" s="50"/>
      <c r="E82" s="50"/>
      <c r="F82" s="50"/>
      <c r="G82" s="50"/>
      <c r="H82" s="50"/>
      <c r="I82" s="50"/>
      <c r="J82" s="50"/>
      <c r="K82" s="50"/>
      <c r="L82" s="50"/>
      <c r="M82" s="50"/>
      <c r="N82" s="50"/>
      <c r="O82" s="50"/>
      <c r="P82" s="50"/>
      <c r="Q82" s="51"/>
    </row>
    <row r="83" ht="14.25" customHeight="1">
      <c r="A83" s="95" t="s">
        <v>158</v>
      </c>
      <c r="B83" s="51"/>
      <c r="C83" s="117" t="s">
        <v>159</v>
      </c>
      <c r="D83" s="50"/>
      <c r="E83" s="50"/>
      <c r="F83" s="50"/>
      <c r="G83" s="50"/>
      <c r="H83" s="50"/>
      <c r="I83" s="50"/>
      <c r="J83" s="50"/>
      <c r="K83" s="50"/>
      <c r="L83" s="50"/>
      <c r="M83" s="50"/>
      <c r="N83" s="50"/>
      <c r="O83" s="50"/>
      <c r="P83" s="50"/>
      <c r="Q83" s="51"/>
    </row>
    <row r="84" ht="14.25" customHeight="1">
      <c r="A84" s="95" t="s">
        <v>160</v>
      </c>
      <c r="B84" s="51"/>
      <c r="C84" s="117" t="s">
        <v>161</v>
      </c>
      <c r="D84" s="50"/>
      <c r="E84" s="50"/>
      <c r="F84" s="50"/>
      <c r="G84" s="50"/>
      <c r="H84" s="50"/>
      <c r="I84" s="50"/>
      <c r="J84" s="50"/>
      <c r="K84" s="50"/>
      <c r="L84" s="50"/>
      <c r="M84" s="50"/>
      <c r="N84" s="50"/>
      <c r="O84" s="50"/>
      <c r="P84" s="50"/>
      <c r="Q84" s="51"/>
    </row>
    <row r="85" ht="14.25" customHeight="1">
      <c r="A85" s="64"/>
      <c r="B85" s="64"/>
      <c r="C85" s="2"/>
      <c r="D85" s="2"/>
      <c r="E85" s="2"/>
      <c r="F85" s="2"/>
      <c r="G85" s="2"/>
      <c r="H85" s="2"/>
      <c r="I85" s="2"/>
      <c r="J85" s="2"/>
      <c r="K85" s="2"/>
      <c r="L85" s="2"/>
      <c r="M85" s="2"/>
      <c r="N85" s="2"/>
      <c r="O85" s="2"/>
      <c r="P85" s="2"/>
      <c r="Q85" s="2"/>
    </row>
    <row r="86" ht="14.25" customHeight="1">
      <c r="A86" s="125" t="s">
        <v>162</v>
      </c>
      <c r="B86" s="50"/>
      <c r="C86" s="50"/>
      <c r="D86" s="50"/>
      <c r="E86" s="50"/>
      <c r="F86" s="50"/>
      <c r="G86" s="50"/>
      <c r="H86" s="50"/>
      <c r="I86" s="50"/>
      <c r="J86" s="50"/>
      <c r="K86" s="50"/>
      <c r="L86" s="50"/>
      <c r="M86" s="50"/>
      <c r="N86" s="50"/>
      <c r="O86" s="50"/>
      <c r="P86" s="50"/>
      <c r="Q86" s="51"/>
    </row>
    <row r="87" ht="29.25" customHeight="1">
      <c r="A87" s="94" t="s">
        <v>163</v>
      </c>
      <c r="B87" s="138" t="s">
        <v>164</v>
      </c>
      <c r="C87" s="50"/>
      <c r="D87" s="50"/>
      <c r="E87" s="50"/>
      <c r="F87" s="50"/>
      <c r="G87" s="50"/>
      <c r="H87" s="50"/>
      <c r="I87" s="50"/>
      <c r="J87" s="50"/>
      <c r="K87" s="50"/>
      <c r="L87" s="50"/>
      <c r="M87" s="50"/>
      <c r="N87" s="50"/>
      <c r="O87" s="50"/>
      <c r="P87" s="50"/>
      <c r="Q87" s="51"/>
    </row>
    <row r="88" ht="28.5" customHeight="1">
      <c r="A88" s="94" t="s">
        <v>165</v>
      </c>
      <c r="B88" s="138" t="s">
        <v>166</v>
      </c>
      <c r="C88" s="50"/>
      <c r="D88" s="50"/>
      <c r="E88" s="50"/>
      <c r="F88" s="50"/>
      <c r="G88" s="50"/>
      <c r="H88" s="50"/>
      <c r="I88" s="50"/>
      <c r="J88" s="50"/>
      <c r="K88" s="50"/>
      <c r="L88" s="50"/>
      <c r="M88" s="50"/>
      <c r="N88" s="50"/>
      <c r="O88" s="50"/>
      <c r="P88" s="50"/>
      <c r="Q88" s="51"/>
    </row>
    <row r="89" ht="49.5" customHeight="1">
      <c r="A89" s="64"/>
      <c r="B89" s="138" t="s">
        <v>167</v>
      </c>
      <c r="C89" s="50"/>
      <c r="D89" s="50"/>
      <c r="E89" s="50"/>
      <c r="F89" s="50"/>
      <c r="G89" s="50"/>
      <c r="H89" s="50"/>
      <c r="I89" s="50"/>
      <c r="J89" s="50"/>
      <c r="K89" s="50"/>
      <c r="L89" s="50"/>
      <c r="M89" s="50"/>
      <c r="N89" s="50"/>
      <c r="O89" s="50"/>
      <c r="P89" s="50"/>
      <c r="Q89" s="51"/>
    </row>
    <row r="90" ht="14.25" customHeight="1">
      <c r="A90" s="139" t="s">
        <v>168</v>
      </c>
      <c r="B90" s="140"/>
      <c r="C90" s="140"/>
      <c r="D90" s="140"/>
      <c r="E90" s="140"/>
      <c r="F90" s="140"/>
      <c r="G90" s="140"/>
      <c r="H90" s="140"/>
      <c r="I90" s="140"/>
      <c r="J90" s="140"/>
      <c r="K90" s="140"/>
      <c r="L90" s="140"/>
      <c r="M90" s="140"/>
      <c r="N90" s="140"/>
      <c r="O90" s="140"/>
      <c r="P90" s="140"/>
      <c r="Q90" s="123"/>
    </row>
    <row r="91" ht="14.25" customHeight="1">
      <c r="A91" s="141" t="s">
        <v>169</v>
      </c>
      <c r="B91" s="97" t="s">
        <v>170</v>
      </c>
      <c r="C91" s="117" t="s">
        <v>171</v>
      </c>
      <c r="D91" s="50"/>
      <c r="E91" s="50"/>
      <c r="F91" s="50"/>
      <c r="G91" s="50"/>
      <c r="H91" s="50"/>
      <c r="I91" s="50"/>
      <c r="J91" s="50"/>
      <c r="K91" s="50"/>
      <c r="L91" s="50"/>
      <c r="M91" s="50"/>
      <c r="N91" s="50"/>
      <c r="O91" s="50"/>
      <c r="P91" s="50"/>
      <c r="Q91" s="51"/>
    </row>
    <row r="92" ht="14.25" customHeight="1">
      <c r="A92" s="21"/>
      <c r="B92" s="97" t="s">
        <v>172</v>
      </c>
      <c r="C92" s="117" t="s">
        <v>173</v>
      </c>
      <c r="D92" s="50"/>
      <c r="E92" s="50"/>
      <c r="F92" s="50"/>
      <c r="G92" s="50"/>
      <c r="H92" s="50"/>
      <c r="I92" s="50"/>
      <c r="J92" s="50"/>
      <c r="K92" s="50"/>
      <c r="L92" s="50"/>
      <c r="M92" s="50"/>
      <c r="N92" s="50"/>
      <c r="O92" s="50"/>
      <c r="P92" s="50"/>
      <c r="Q92" s="51"/>
    </row>
    <row r="93" ht="14.25" customHeight="1">
      <c r="A93" s="21"/>
      <c r="B93" s="97" t="s">
        <v>174</v>
      </c>
      <c r="C93" s="117" t="s">
        <v>175</v>
      </c>
      <c r="D93" s="50"/>
      <c r="E93" s="50"/>
      <c r="F93" s="50"/>
      <c r="G93" s="50"/>
      <c r="H93" s="50"/>
      <c r="I93" s="50"/>
      <c r="J93" s="50"/>
      <c r="K93" s="50"/>
      <c r="L93" s="50"/>
      <c r="M93" s="50"/>
      <c r="N93" s="50"/>
      <c r="O93" s="50"/>
      <c r="P93" s="50"/>
      <c r="Q93" s="51"/>
    </row>
    <row r="94" ht="14.25" customHeight="1">
      <c r="A94" s="21"/>
      <c r="B94" s="97" t="s">
        <v>176</v>
      </c>
      <c r="C94" s="117" t="s">
        <v>177</v>
      </c>
      <c r="D94" s="50"/>
      <c r="E94" s="50"/>
      <c r="F94" s="50"/>
      <c r="G94" s="50"/>
      <c r="H94" s="50"/>
      <c r="I94" s="50"/>
      <c r="J94" s="50"/>
      <c r="K94" s="50"/>
      <c r="L94" s="50"/>
      <c r="M94" s="50"/>
      <c r="N94" s="50"/>
      <c r="O94" s="50"/>
      <c r="P94" s="50"/>
      <c r="Q94" s="51"/>
    </row>
    <row r="95" ht="14.25" customHeight="1">
      <c r="A95" s="21"/>
      <c r="B95" s="97" t="s">
        <v>178</v>
      </c>
      <c r="C95" s="117" t="s">
        <v>179</v>
      </c>
      <c r="D95" s="50"/>
      <c r="E95" s="50"/>
      <c r="F95" s="50"/>
      <c r="G95" s="50"/>
      <c r="H95" s="50"/>
      <c r="I95" s="50"/>
      <c r="J95" s="50"/>
      <c r="K95" s="50"/>
      <c r="L95" s="50"/>
      <c r="M95" s="50"/>
      <c r="N95" s="50"/>
      <c r="O95" s="50"/>
      <c r="P95" s="50"/>
      <c r="Q95" s="51"/>
    </row>
    <row r="96" ht="14.25" customHeight="1">
      <c r="A96" s="21"/>
      <c r="B96" s="97" t="s">
        <v>180</v>
      </c>
      <c r="C96" s="117" t="s">
        <v>181</v>
      </c>
      <c r="D96" s="50"/>
      <c r="E96" s="50"/>
      <c r="F96" s="50"/>
      <c r="G96" s="50"/>
      <c r="H96" s="50"/>
      <c r="I96" s="50"/>
      <c r="J96" s="50"/>
      <c r="K96" s="50"/>
      <c r="L96" s="50"/>
      <c r="M96" s="50"/>
      <c r="N96" s="50"/>
      <c r="O96" s="50"/>
      <c r="P96" s="50"/>
      <c r="Q96" s="51"/>
    </row>
    <row r="97" ht="14.25" customHeight="1">
      <c r="A97" s="21"/>
      <c r="B97" s="97" t="s">
        <v>182</v>
      </c>
      <c r="C97" s="117" t="s">
        <v>183</v>
      </c>
      <c r="D97" s="50"/>
      <c r="E97" s="50"/>
      <c r="F97" s="50"/>
      <c r="G97" s="50"/>
      <c r="H97" s="50"/>
      <c r="I97" s="50"/>
      <c r="J97" s="50"/>
      <c r="K97" s="50"/>
      <c r="L97" s="50"/>
      <c r="M97" s="50"/>
      <c r="N97" s="50"/>
      <c r="O97" s="50"/>
      <c r="P97" s="50"/>
      <c r="Q97" s="51"/>
    </row>
    <row r="98" ht="14.25" customHeight="1">
      <c r="A98" s="21"/>
      <c r="B98" s="97" t="s">
        <v>184</v>
      </c>
      <c r="C98" s="117" t="s">
        <v>185</v>
      </c>
      <c r="D98" s="50"/>
      <c r="E98" s="50"/>
      <c r="F98" s="50"/>
      <c r="G98" s="50"/>
      <c r="H98" s="50"/>
      <c r="I98" s="50"/>
      <c r="J98" s="50"/>
      <c r="K98" s="50"/>
      <c r="L98" s="50"/>
      <c r="M98" s="50"/>
      <c r="N98" s="50"/>
      <c r="O98" s="50"/>
      <c r="P98" s="50"/>
      <c r="Q98" s="51"/>
    </row>
    <row r="99" ht="14.25" customHeight="1">
      <c r="A99" s="21"/>
      <c r="B99" s="97" t="s">
        <v>186</v>
      </c>
      <c r="C99" s="117" t="s">
        <v>187</v>
      </c>
      <c r="D99" s="50"/>
      <c r="E99" s="50"/>
      <c r="F99" s="50"/>
      <c r="G99" s="50"/>
      <c r="H99" s="50"/>
      <c r="I99" s="50"/>
      <c r="J99" s="50"/>
      <c r="K99" s="50"/>
      <c r="L99" s="50"/>
      <c r="M99" s="50"/>
      <c r="N99" s="50"/>
      <c r="O99" s="50"/>
      <c r="P99" s="50"/>
      <c r="Q99" s="51"/>
    </row>
    <row r="100" ht="14.25" customHeight="1">
      <c r="A100" s="21"/>
      <c r="B100" s="97" t="s">
        <v>188</v>
      </c>
      <c r="C100" s="117" t="s">
        <v>189</v>
      </c>
      <c r="D100" s="50"/>
      <c r="E100" s="50"/>
      <c r="F100" s="50"/>
      <c r="G100" s="50"/>
      <c r="H100" s="50"/>
      <c r="I100" s="50"/>
      <c r="J100" s="50"/>
      <c r="K100" s="50"/>
      <c r="L100" s="50"/>
      <c r="M100" s="50"/>
      <c r="N100" s="50"/>
      <c r="O100" s="50"/>
      <c r="P100" s="50"/>
      <c r="Q100" s="51"/>
    </row>
    <row r="101" ht="14.25" customHeight="1">
      <c r="A101" s="21"/>
      <c r="B101" s="97" t="s">
        <v>190</v>
      </c>
      <c r="C101" s="117" t="s">
        <v>191</v>
      </c>
      <c r="D101" s="50"/>
      <c r="E101" s="50"/>
      <c r="F101" s="50"/>
      <c r="G101" s="50"/>
      <c r="H101" s="50"/>
      <c r="I101" s="50"/>
      <c r="J101" s="50"/>
      <c r="K101" s="50"/>
      <c r="L101" s="50"/>
      <c r="M101" s="50"/>
      <c r="N101" s="50"/>
      <c r="O101" s="50"/>
      <c r="P101" s="50"/>
      <c r="Q101" s="51"/>
    </row>
    <row r="102" ht="14.25" customHeight="1">
      <c r="A102" s="28"/>
      <c r="B102" s="97" t="s">
        <v>192</v>
      </c>
      <c r="C102" s="117" t="s">
        <v>193</v>
      </c>
      <c r="D102" s="50"/>
      <c r="E102" s="50"/>
      <c r="F102" s="50"/>
      <c r="G102" s="50"/>
      <c r="H102" s="50"/>
      <c r="I102" s="50"/>
      <c r="J102" s="50"/>
      <c r="K102" s="50"/>
      <c r="L102" s="50"/>
      <c r="M102" s="50"/>
      <c r="N102" s="50"/>
      <c r="O102" s="50"/>
      <c r="P102" s="50"/>
      <c r="Q102" s="51"/>
    </row>
    <row r="103" ht="14.25" customHeight="1">
      <c r="A103" s="142">
        <v>1275.0</v>
      </c>
      <c r="B103" s="143" t="s">
        <v>194</v>
      </c>
      <c r="C103" s="51"/>
      <c r="D103" s="117" t="s">
        <v>195</v>
      </c>
      <c r="E103" s="50"/>
      <c r="F103" s="50"/>
      <c r="G103" s="50"/>
      <c r="H103" s="50"/>
      <c r="I103" s="50"/>
      <c r="J103" s="50"/>
      <c r="K103" s="50"/>
      <c r="L103" s="50"/>
      <c r="M103" s="50"/>
      <c r="N103" s="50"/>
      <c r="O103" s="50"/>
      <c r="P103" s="50"/>
      <c r="Q103" s="51"/>
    </row>
    <row r="104" ht="14.25" customHeight="1">
      <c r="A104" s="28"/>
      <c r="B104" s="143" t="s">
        <v>196</v>
      </c>
      <c r="C104" s="51"/>
      <c r="D104" s="117" t="s">
        <v>197</v>
      </c>
      <c r="E104" s="50"/>
      <c r="F104" s="50"/>
      <c r="G104" s="50"/>
      <c r="H104" s="50"/>
      <c r="I104" s="50"/>
      <c r="J104" s="50"/>
      <c r="K104" s="50"/>
      <c r="L104" s="50"/>
      <c r="M104" s="50"/>
      <c r="N104" s="50"/>
      <c r="O104" s="50"/>
      <c r="P104" s="50"/>
      <c r="Q104" s="51"/>
    </row>
    <row r="105" ht="14.25" customHeight="1">
      <c r="A105" s="144" t="s">
        <v>198</v>
      </c>
      <c r="B105" s="145" t="s">
        <v>194</v>
      </c>
      <c r="C105" s="51"/>
      <c r="D105" s="95" t="s">
        <v>199</v>
      </c>
      <c r="E105" s="50"/>
      <c r="F105" s="50"/>
      <c r="G105" s="50"/>
      <c r="H105" s="50"/>
      <c r="I105" s="50"/>
      <c r="J105" s="50"/>
      <c r="K105" s="50"/>
      <c r="L105" s="50"/>
      <c r="M105" s="50"/>
      <c r="N105" s="50"/>
      <c r="O105" s="50"/>
      <c r="P105" s="50"/>
      <c r="Q105" s="51"/>
    </row>
    <row r="106" ht="14.25" customHeight="1">
      <c r="A106" s="28"/>
      <c r="B106" s="145" t="s">
        <v>196</v>
      </c>
      <c r="C106" s="51"/>
      <c r="D106" s="146" t="s">
        <v>200</v>
      </c>
      <c r="E106" s="146"/>
      <c r="F106" s="146"/>
      <c r="G106" s="146"/>
      <c r="H106" s="146"/>
      <c r="I106" s="146"/>
      <c r="J106" s="146"/>
      <c r="K106" s="146"/>
      <c r="L106" s="146"/>
      <c r="M106" s="146"/>
      <c r="N106" s="146"/>
      <c r="O106" s="146"/>
      <c r="P106" s="146"/>
      <c r="Q106" s="146"/>
    </row>
    <row r="107" ht="15.0" customHeight="1">
      <c r="A107" s="147" t="s">
        <v>201</v>
      </c>
      <c r="B107" s="148" t="s">
        <v>202</v>
      </c>
      <c r="C107" s="16"/>
      <c r="D107" s="112" t="s">
        <v>203</v>
      </c>
      <c r="E107" s="13"/>
      <c r="F107" s="13"/>
      <c r="G107" s="13"/>
      <c r="H107" s="13"/>
      <c r="I107" s="13"/>
      <c r="J107" s="13"/>
      <c r="K107" s="13"/>
      <c r="L107" s="13"/>
      <c r="M107" s="13"/>
      <c r="N107" s="13"/>
      <c r="O107" s="13"/>
      <c r="P107" s="13"/>
      <c r="Q107" s="16"/>
    </row>
    <row r="108" ht="14.25" customHeight="1">
      <c r="A108" s="21"/>
      <c r="B108" s="23"/>
      <c r="C108" s="25"/>
      <c r="D108" s="23"/>
      <c r="E108" s="6"/>
      <c r="F108" s="6"/>
      <c r="G108" s="6"/>
      <c r="H108" s="6"/>
      <c r="I108" s="6"/>
      <c r="J108" s="6"/>
      <c r="K108" s="6"/>
      <c r="L108" s="6"/>
      <c r="M108" s="6"/>
      <c r="N108" s="6"/>
      <c r="O108" s="6"/>
      <c r="P108" s="6"/>
      <c r="Q108" s="25"/>
    </row>
    <row r="109" ht="14.25" customHeight="1">
      <c r="A109" s="21"/>
      <c r="B109" s="148" t="s">
        <v>204</v>
      </c>
      <c r="C109" s="16"/>
      <c r="D109" s="112" t="s">
        <v>205</v>
      </c>
      <c r="E109" s="13"/>
      <c r="F109" s="13"/>
      <c r="G109" s="13"/>
      <c r="H109" s="13"/>
      <c r="I109" s="13"/>
      <c r="J109" s="13"/>
      <c r="K109" s="13"/>
      <c r="L109" s="13"/>
      <c r="M109" s="13"/>
      <c r="N109" s="13"/>
      <c r="O109" s="13"/>
      <c r="P109" s="13"/>
      <c r="Q109" s="16"/>
    </row>
    <row r="110" ht="14.25" customHeight="1">
      <c r="A110" s="21"/>
      <c r="B110" s="23"/>
      <c r="C110" s="25"/>
      <c r="D110" s="23"/>
      <c r="E110" s="6"/>
      <c r="F110" s="6"/>
      <c r="G110" s="6"/>
      <c r="H110" s="6"/>
      <c r="I110" s="6"/>
      <c r="J110" s="6"/>
      <c r="K110" s="6"/>
      <c r="L110" s="6"/>
      <c r="M110" s="6"/>
      <c r="N110" s="6"/>
      <c r="O110" s="6"/>
      <c r="P110" s="6"/>
      <c r="Q110" s="25"/>
    </row>
    <row r="111" ht="14.25" customHeight="1">
      <c r="A111" s="21"/>
      <c r="B111" s="148" t="s">
        <v>206</v>
      </c>
      <c r="C111" s="16"/>
      <c r="D111" s="112" t="s">
        <v>207</v>
      </c>
      <c r="E111" s="13"/>
      <c r="F111" s="13"/>
      <c r="G111" s="13"/>
      <c r="H111" s="13"/>
      <c r="I111" s="13"/>
      <c r="J111" s="13"/>
      <c r="K111" s="13"/>
      <c r="L111" s="13"/>
      <c r="M111" s="13"/>
      <c r="N111" s="13"/>
      <c r="O111" s="13"/>
      <c r="P111" s="13"/>
      <c r="Q111" s="16"/>
    </row>
    <row r="112" ht="15.0" customHeight="1">
      <c r="A112" s="28"/>
      <c r="B112" s="23"/>
      <c r="C112" s="25"/>
      <c r="D112" s="23"/>
      <c r="E112" s="6"/>
      <c r="F112" s="6"/>
      <c r="G112" s="6"/>
      <c r="H112" s="6"/>
      <c r="I112" s="6"/>
      <c r="J112" s="6"/>
      <c r="K112" s="6"/>
      <c r="L112" s="6"/>
      <c r="M112" s="6"/>
      <c r="N112" s="6"/>
      <c r="O112" s="6"/>
      <c r="P112" s="6"/>
      <c r="Q112" s="25"/>
    </row>
    <row r="113" ht="14.25" customHeight="1">
      <c r="A113" s="149"/>
      <c r="B113" s="149"/>
      <c r="C113" s="149"/>
      <c r="D113" s="149"/>
      <c r="E113" s="149"/>
      <c r="F113" s="149"/>
      <c r="G113" s="149"/>
      <c r="H113" s="149"/>
      <c r="I113" s="149"/>
      <c r="J113" s="149"/>
      <c r="K113" s="149"/>
      <c r="L113" s="149"/>
      <c r="M113" s="149"/>
      <c r="N113" s="149"/>
      <c r="O113" s="149"/>
      <c r="P113" s="149"/>
      <c r="Q113" s="149"/>
    </row>
    <row r="114" ht="14.25" customHeight="1">
      <c r="A114" s="150" t="s">
        <v>208</v>
      </c>
      <c r="B114" s="50"/>
      <c r="C114" s="50"/>
      <c r="D114" s="50"/>
      <c r="E114" s="50"/>
      <c r="F114" s="50"/>
      <c r="G114" s="50"/>
      <c r="H114" s="50"/>
      <c r="I114" s="50"/>
      <c r="J114" s="50"/>
      <c r="K114" s="50"/>
      <c r="L114" s="50"/>
      <c r="M114" s="50"/>
      <c r="N114" s="50"/>
      <c r="O114" s="50"/>
      <c r="P114" s="50"/>
      <c r="Q114" s="51"/>
      <c r="R114" s="151"/>
      <c r="S114" s="152" t="s">
        <v>209</v>
      </c>
      <c r="U114" s="153">
        <v>0.0147</v>
      </c>
    </row>
    <row r="115" ht="14.25" customHeight="1">
      <c r="A115" s="154" t="s">
        <v>210</v>
      </c>
      <c r="B115" s="117" t="s">
        <v>211</v>
      </c>
      <c r="C115" s="50"/>
      <c r="D115" s="50"/>
      <c r="E115" s="50"/>
      <c r="F115" s="50"/>
      <c r="G115" s="50"/>
      <c r="H115" s="50"/>
      <c r="I115" s="50"/>
      <c r="J115" s="50"/>
      <c r="K115" s="50"/>
      <c r="L115" s="50"/>
      <c r="M115" s="50"/>
      <c r="N115" s="50"/>
      <c r="O115" s="50"/>
      <c r="P115" s="50"/>
      <c r="Q115" s="51"/>
      <c r="R115" s="155"/>
      <c r="S115" s="152" t="s">
        <v>212</v>
      </c>
      <c r="U115" s="156">
        <v>46.0</v>
      </c>
      <c r="V115" s="155" t="s">
        <v>213</v>
      </c>
    </row>
    <row r="116" ht="14.25" customHeight="1">
      <c r="A116" s="154" t="s">
        <v>214</v>
      </c>
      <c r="B116" s="117" t="s">
        <v>215</v>
      </c>
      <c r="C116" s="50"/>
      <c r="D116" s="50"/>
      <c r="E116" s="50"/>
      <c r="F116" s="50"/>
      <c r="G116" s="50"/>
      <c r="H116" s="50"/>
      <c r="I116" s="50"/>
      <c r="J116" s="50"/>
      <c r="K116" s="50"/>
      <c r="L116" s="50"/>
      <c r="M116" s="50"/>
      <c r="N116" s="50"/>
      <c r="O116" s="50"/>
      <c r="P116" s="50"/>
      <c r="Q116" s="51"/>
      <c r="R116" s="151"/>
      <c r="S116" s="157" t="s">
        <v>216</v>
      </c>
      <c r="U116" s="158">
        <f>U115*U114</f>
        <v>0.6762</v>
      </c>
      <c r="V116" s="123"/>
      <c r="W116" s="1" t="s">
        <v>217</v>
      </c>
    </row>
    <row r="117" ht="14.25" customHeight="1"/>
    <row r="118" ht="14.25" customHeight="1">
      <c r="A118" s="159" t="s">
        <v>218</v>
      </c>
      <c r="B118" s="50"/>
      <c r="C118" s="50"/>
      <c r="D118" s="50"/>
      <c r="E118" s="50"/>
      <c r="F118" s="50"/>
      <c r="G118" s="50"/>
      <c r="H118" s="50"/>
      <c r="I118" s="50"/>
      <c r="J118" s="50"/>
      <c r="K118" s="50"/>
      <c r="L118" s="50"/>
      <c r="M118" s="50"/>
      <c r="N118" s="50"/>
      <c r="O118" s="50"/>
      <c r="P118" s="50"/>
      <c r="Q118" s="51"/>
    </row>
    <row r="119" ht="14.25" customHeight="1">
      <c r="A119" s="94" t="s">
        <v>219</v>
      </c>
      <c r="B119" s="117" t="s">
        <v>220</v>
      </c>
      <c r="C119" s="50"/>
      <c r="D119" s="50"/>
      <c r="E119" s="50"/>
      <c r="F119" s="50"/>
      <c r="G119" s="50"/>
      <c r="H119" s="50"/>
      <c r="I119" s="50"/>
      <c r="J119" s="50"/>
      <c r="K119" s="50"/>
      <c r="L119" s="50"/>
      <c r="M119" s="50"/>
      <c r="N119" s="50"/>
      <c r="O119" s="50"/>
      <c r="P119" s="50"/>
      <c r="Q119" s="51"/>
    </row>
    <row r="120" ht="14.25" customHeight="1">
      <c r="A120" s="94" t="s">
        <v>221</v>
      </c>
      <c r="B120" s="117" t="s">
        <v>222</v>
      </c>
      <c r="C120" s="50"/>
      <c r="D120" s="50"/>
      <c r="E120" s="50"/>
      <c r="F120" s="50"/>
      <c r="G120" s="50"/>
      <c r="H120" s="50"/>
      <c r="I120" s="50"/>
      <c r="J120" s="50"/>
      <c r="K120" s="50"/>
      <c r="L120" s="50"/>
      <c r="M120" s="50"/>
      <c r="N120" s="50"/>
      <c r="O120" s="50"/>
      <c r="P120" s="50"/>
      <c r="Q120" s="51"/>
    </row>
    <row r="121" ht="14.25" customHeight="1">
      <c r="B121" s="64"/>
    </row>
    <row r="122" ht="14.25" customHeight="1">
      <c r="B122" s="64"/>
    </row>
    <row r="123" ht="14.25" customHeight="1">
      <c r="B123" s="64"/>
    </row>
    <row r="124" ht="14.25" customHeight="1">
      <c r="A124" s="160" t="s">
        <v>223</v>
      </c>
      <c r="B124" s="50"/>
      <c r="C124" s="50"/>
      <c r="D124" s="50"/>
      <c r="E124" s="50"/>
      <c r="F124" s="50"/>
      <c r="G124" s="50"/>
      <c r="H124" s="50"/>
      <c r="I124" s="50"/>
      <c r="J124" s="50"/>
      <c r="K124" s="50"/>
      <c r="L124" s="50"/>
      <c r="M124" s="50"/>
      <c r="N124" s="50"/>
      <c r="O124" s="50"/>
      <c r="P124" s="50"/>
      <c r="Q124" s="51"/>
    </row>
    <row r="125" ht="15.0" customHeight="1">
      <c r="A125" s="161"/>
      <c r="B125" s="162" t="s">
        <v>224</v>
      </c>
      <c r="C125" s="13"/>
      <c r="D125" s="13"/>
      <c r="E125" s="13"/>
      <c r="F125" s="13"/>
      <c r="G125" s="13"/>
      <c r="H125" s="13"/>
      <c r="I125" s="13"/>
      <c r="J125" s="13"/>
      <c r="K125" s="13"/>
      <c r="L125" s="13"/>
      <c r="M125" s="13"/>
      <c r="N125" s="13"/>
      <c r="O125" s="13"/>
      <c r="P125" s="13"/>
      <c r="Q125" s="16"/>
    </row>
    <row r="126" ht="14.25" customHeight="1">
      <c r="A126" s="21"/>
      <c r="B126" s="26"/>
      <c r="Q126" s="27"/>
    </row>
    <row r="127" ht="14.25" customHeight="1">
      <c r="A127" s="21"/>
      <c r="B127" s="26"/>
      <c r="Q127" s="27"/>
    </row>
    <row r="128" ht="14.25" customHeight="1">
      <c r="A128" s="21"/>
      <c r="B128" s="26"/>
      <c r="Q128" s="27"/>
    </row>
    <row r="129" ht="14.25" customHeight="1">
      <c r="A129" s="21"/>
      <c r="B129" s="26"/>
      <c r="Q129" s="27"/>
    </row>
    <row r="130" ht="14.25" customHeight="1">
      <c r="A130" s="21"/>
      <c r="B130" s="26"/>
      <c r="Q130" s="27"/>
    </row>
    <row r="131" ht="14.25" customHeight="1">
      <c r="A131" s="28"/>
      <c r="B131" s="23"/>
      <c r="C131" s="6"/>
      <c r="D131" s="6"/>
      <c r="E131" s="6"/>
      <c r="F131" s="6"/>
      <c r="G131" s="6"/>
      <c r="H131" s="6"/>
      <c r="I131" s="6"/>
      <c r="J131" s="6"/>
      <c r="K131" s="6"/>
      <c r="L131" s="6"/>
      <c r="M131" s="6"/>
      <c r="N131" s="6"/>
      <c r="O131" s="6"/>
      <c r="P131" s="6"/>
      <c r="Q131" s="25"/>
    </row>
    <row r="132" ht="14.25" customHeight="1">
      <c r="A132" s="163"/>
      <c r="B132" s="164"/>
      <c r="C132" s="164"/>
      <c r="D132" s="164"/>
      <c r="E132" s="164"/>
      <c r="F132" s="164"/>
      <c r="G132" s="164"/>
      <c r="H132" s="164"/>
      <c r="I132" s="164"/>
      <c r="J132" s="164"/>
      <c r="K132" s="164"/>
      <c r="L132" s="164"/>
      <c r="M132" s="164"/>
      <c r="N132" s="164"/>
      <c r="O132" s="164"/>
      <c r="P132" s="164"/>
      <c r="Q132" s="164"/>
    </row>
    <row r="133" ht="14.25" customHeight="1">
      <c r="A133" s="165" t="s">
        <v>225</v>
      </c>
      <c r="B133" s="140"/>
      <c r="C133" s="140"/>
      <c r="D133" s="140"/>
      <c r="E133" s="140"/>
      <c r="F133" s="140"/>
      <c r="G133" s="140"/>
      <c r="H133" s="140"/>
      <c r="I133" s="140"/>
      <c r="J133" s="140"/>
      <c r="K133" s="140"/>
      <c r="L133" s="140"/>
      <c r="M133" s="140"/>
      <c r="N133" s="140"/>
      <c r="O133" s="140"/>
      <c r="P133" s="140"/>
      <c r="Q133" s="123"/>
    </row>
    <row r="134" ht="14.25" customHeight="1">
      <c r="A134" s="166"/>
      <c r="B134" s="167" t="s">
        <v>226</v>
      </c>
      <c r="C134" s="140"/>
      <c r="D134" s="140"/>
      <c r="E134" s="140"/>
      <c r="F134" s="140"/>
      <c r="G134" s="140"/>
      <c r="H134" s="140"/>
      <c r="I134" s="140"/>
      <c r="J134" s="140"/>
      <c r="K134" s="140"/>
      <c r="L134" s="140"/>
      <c r="M134" s="140"/>
      <c r="N134" s="140"/>
      <c r="O134" s="140"/>
      <c r="P134" s="140"/>
      <c r="Q134" s="123"/>
    </row>
    <row r="135" ht="14.25" customHeight="1">
      <c r="A135" s="166"/>
      <c r="B135" s="167" t="s">
        <v>227</v>
      </c>
      <c r="C135" s="140"/>
      <c r="D135" s="140"/>
      <c r="E135" s="140"/>
      <c r="F135" s="140"/>
      <c r="G135" s="140"/>
      <c r="H135" s="140"/>
      <c r="I135" s="140"/>
      <c r="J135" s="140"/>
      <c r="K135" s="140"/>
      <c r="L135" s="140"/>
      <c r="M135" s="140"/>
      <c r="N135" s="140"/>
      <c r="O135" s="140"/>
      <c r="P135" s="140"/>
      <c r="Q135" s="123"/>
    </row>
    <row r="136" ht="55.5" customHeight="1">
      <c r="A136" s="48" t="s">
        <v>228</v>
      </c>
      <c r="B136" s="168" t="s">
        <v>229</v>
      </c>
      <c r="C136" s="50"/>
      <c r="D136" s="50"/>
      <c r="E136" s="50"/>
      <c r="F136" s="50"/>
      <c r="G136" s="50"/>
      <c r="H136" s="50"/>
      <c r="I136" s="50"/>
      <c r="J136" s="50"/>
      <c r="K136" s="50"/>
      <c r="L136" s="50"/>
      <c r="M136" s="50"/>
      <c r="N136" s="50"/>
      <c r="O136" s="50"/>
      <c r="P136" s="50"/>
      <c r="Q136" s="51"/>
    </row>
    <row r="137" ht="45.75" customHeight="1">
      <c r="A137" s="97" t="s">
        <v>230</v>
      </c>
      <c r="B137" s="138" t="s">
        <v>231</v>
      </c>
      <c r="C137" s="50"/>
      <c r="D137" s="50"/>
      <c r="E137" s="50"/>
      <c r="F137" s="50"/>
      <c r="G137" s="50"/>
      <c r="H137" s="50"/>
      <c r="I137" s="50"/>
      <c r="J137" s="50"/>
      <c r="K137" s="50"/>
      <c r="L137" s="50"/>
      <c r="M137" s="50"/>
      <c r="N137" s="50"/>
      <c r="O137" s="50"/>
      <c r="P137" s="50"/>
      <c r="Q137" s="51"/>
    </row>
    <row r="138" ht="43.5" customHeight="1">
      <c r="A138" s="48" t="s">
        <v>232</v>
      </c>
      <c r="B138" s="138" t="s">
        <v>233</v>
      </c>
      <c r="C138" s="50"/>
      <c r="D138" s="50"/>
      <c r="E138" s="50"/>
      <c r="F138" s="50"/>
      <c r="G138" s="50"/>
      <c r="H138" s="50"/>
      <c r="I138" s="50"/>
      <c r="J138" s="50"/>
      <c r="K138" s="50"/>
      <c r="L138" s="50"/>
      <c r="M138" s="50"/>
      <c r="N138" s="50"/>
      <c r="O138" s="50"/>
      <c r="P138" s="50"/>
      <c r="Q138" s="51"/>
    </row>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c r="B917" s="1">
        <v>4.500300873E9</v>
      </c>
    </row>
  </sheetData>
  <mergeCells count="153">
    <mergeCell ref="AC37:AD37"/>
    <mergeCell ref="AC38:AD38"/>
    <mergeCell ref="AG43:AH43"/>
    <mergeCell ref="AI43:AJ43"/>
    <mergeCell ref="V19:W19"/>
    <mergeCell ref="X19:Z19"/>
    <mergeCell ref="AF35:AQ35"/>
    <mergeCell ref="AC36:AD36"/>
    <mergeCell ref="AF36:AF37"/>
    <mergeCell ref="AP36:AQ36"/>
    <mergeCell ref="AP37:AQ37"/>
    <mergeCell ref="AP38:AQ38"/>
    <mergeCell ref="C41:Q43"/>
    <mergeCell ref="C44:Q47"/>
    <mergeCell ref="C23:Q26"/>
    <mergeCell ref="C27:Q27"/>
    <mergeCell ref="C28:Q30"/>
    <mergeCell ref="C31:Q33"/>
    <mergeCell ref="C35:Q37"/>
    <mergeCell ref="S36:S37"/>
    <mergeCell ref="C38:Q40"/>
    <mergeCell ref="A3:B3"/>
    <mergeCell ref="B4:B6"/>
    <mergeCell ref="A4:A26"/>
    <mergeCell ref="B7:B14"/>
    <mergeCell ref="B15:B26"/>
    <mergeCell ref="A28:A33"/>
    <mergeCell ref="B28:B30"/>
    <mergeCell ref="B31:B33"/>
    <mergeCell ref="A35:A43"/>
    <mergeCell ref="A83:B83"/>
    <mergeCell ref="A84:B84"/>
    <mergeCell ref="A91:A102"/>
    <mergeCell ref="A103:A104"/>
    <mergeCell ref="A105:A106"/>
    <mergeCell ref="A107:A112"/>
    <mergeCell ref="A125:A131"/>
    <mergeCell ref="A67:B69"/>
    <mergeCell ref="A70:B72"/>
    <mergeCell ref="A73:B73"/>
    <mergeCell ref="A76:B76"/>
    <mergeCell ref="A77:B77"/>
    <mergeCell ref="A81:B81"/>
    <mergeCell ref="A82:B82"/>
    <mergeCell ref="W3:Y4"/>
    <mergeCell ref="Z3:AB4"/>
    <mergeCell ref="AC3:AE4"/>
    <mergeCell ref="C1:Q1"/>
    <mergeCell ref="C2:Q2"/>
    <mergeCell ref="C3:Q3"/>
    <mergeCell ref="S3:S5"/>
    <mergeCell ref="T3:T5"/>
    <mergeCell ref="V3:V5"/>
    <mergeCell ref="C4:Q6"/>
    <mergeCell ref="C7:Q10"/>
    <mergeCell ref="C11:Q14"/>
    <mergeCell ref="C15:Q18"/>
    <mergeCell ref="S18:S20"/>
    <mergeCell ref="T18:T20"/>
    <mergeCell ref="V18:Z18"/>
    <mergeCell ref="C19:Q22"/>
    <mergeCell ref="AC44:AD44"/>
    <mergeCell ref="AC45:AD45"/>
    <mergeCell ref="AC46:AD46"/>
    <mergeCell ref="AC47:AD47"/>
    <mergeCell ref="B35:B37"/>
    <mergeCell ref="B38:B40"/>
    <mergeCell ref="AC39:AD39"/>
    <mergeCell ref="AC40:AD40"/>
    <mergeCell ref="AC41:AD41"/>
    <mergeCell ref="AC42:AD42"/>
    <mergeCell ref="AC43:AD43"/>
    <mergeCell ref="A52:A55"/>
    <mergeCell ref="B52:B53"/>
    <mergeCell ref="B54:B55"/>
    <mergeCell ref="A60:B60"/>
    <mergeCell ref="A61:B61"/>
    <mergeCell ref="A62:B62"/>
    <mergeCell ref="A63:B63"/>
    <mergeCell ref="B41:B43"/>
    <mergeCell ref="A44:B47"/>
    <mergeCell ref="A49:B50"/>
    <mergeCell ref="C49:Q50"/>
    <mergeCell ref="C52:Q53"/>
    <mergeCell ref="C54:Q55"/>
    <mergeCell ref="C56:Q58"/>
    <mergeCell ref="A114:Q114"/>
    <mergeCell ref="S114:T114"/>
    <mergeCell ref="B115:Q115"/>
    <mergeCell ref="S115:T115"/>
    <mergeCell ref="B116:Q116"/>
    <mergeCell ref="S116:T116"/>
    <mergeCell ref="U116:V116"/>
    <mergeCell ref="B135:Q135"/>
    <mergeCell ref="B136:Q136"/>
    <mergeCell ref="B137:Q137"/>
    <mergeCell ref="B138:Q138"/>
    <mergeCell ref="A118:Q118"/>
    <mergeCell ref="B119:Q119"/>
    <mergeCell ref="B120:Q120"/>
    <mergeCell ref="A124:Q124"/>
    <mergeCell ref="B125:Q131"/>
    <mergeCell ref="A133:Q133"/>
    <mergeCell ref="B134:Q134"/>
    <mergeCell ref="A59:Q59"/>
    <mergeCell ref="C60:Q60"/>
    <mergeCell ref="C61:Q61"/>
    <mergeCell ref="C62:Q62"/>
    <mergeCell ref="T62:U62"/>
    <mergeCell ref="C63:Q63"/>
    <mergeCell ref="A66:Q66"/>
    <mergeCell ref="C67:Q69"/>
    <mergeCell ref="C70:Q72"/>
    <mergeCell ref="C73:Q73"/>
    <mergeCell ref="A75:Q75"/>
    <mergeCell ref="C76:Q76"/>
    <mergeCell ref="C77:Q77"/>
    <mergeCell ref="C78:Q78"/>
    <mergeCell ref="A80:Q80"/>
    <mergeCell ref="C81:Q81"/>
    <mergeCell ref="C82:Q82"/>
    <mergeCell ref="C83:Q83"/>
    <mergeCell ref="C84:Q84"/>
    <mergeCell ref="A86:Q86"/>
    <mergeCell ref="B87:Q87"/>
    <mergeCell ref="B88:Q88"/>
    <mergeCell ref="B89:Q89"/>
    <mergeCell ref="A90:Q90"/>
    <mergeCell ref="C91:Q91"/>
    <mergeCell ref="C92:Q92"/>
    <mergeCell ref="C93:Q93"/>
    <mergeCell ref="C94:Q94"/>
    <mergeCell ref="C95:Q95"/>
    <mergeCell ref="C96:Q96"/>
    <mergeCell ref="C97:Q97"/>
    <mergeCell ref="C98:Q98"/>
    <mergeCell ref="C99:Q99"/>
    <mergeCell ref="C100:Q100"/>
    <mergeCell ref="C101:Q101"/>
    <mergeCell ref="C102:Q102"/>
    <mergeCell ref="B103:C103"/>
    <mergeCell ref="D103:Q103"/>
    <mergeCell ref="B104:C104"/>
    <mergeCell ref="D104:Q104"/>
    <mergeCell ref="B105:C105"/>
    <mergeCell ref="D105:Q105"/>
    <mergeCell ref="B106:C106"/>
    <mergeCell ref="B107:C108"/>
    <mergeCell ref="D107:Q108"/>
    <mergeCell ref="B109:C110"/>
    <mergeCell ref="D109:Q110"/>
    <mergeCell ref="B111:C112"/>
    <mergeCell ref="D111:Q11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5" width="8.71"/>
    <col customWidth="1" min="6" max="6" width="13.14"/>
    <col customWidth="1" min="7" max="12" width="8.71"/>
    <col customWidth="1" min="13" max="13" width="10.57"/>
    <col customWidth="1" min="14" max="14" width="12.43"/>
    <col customWidth="1" min="15" max="16" width="8.71"/>
    <col customWidth="1" min="17" max="17" width="16.14"/>
    <col customWidth="1" min="18" max="26" width="8.71"/>
  </cols>
  <sheetData>
    <row r="1" ht="14.25" customHeight="1">
      <c r="B1" s="1" t="s">
        <v>234</v>
      </c>
    </row>
    <row r="2" ht="14.25" customHeight="1">
      <c r="B2" s="64"/>
    </row>
    <row r="3" ht="15.0" customHeight="1">
      <c r="A3" s="169" t="s">
        <v>235</v>
      </c>
      <c r="B3" s="115" t="s">
        <v>236</v>
      </c>
      <c r="C3" s="13"/>
      <c r="D3" s="13"/>
      <c r="E3" s="13"/>
      <c r="F3" s="13"/>
      <c r="G3" s="13"/>
      <c r="H3" s="13"/>
      <c r="I3" s="13"/>
      <c r="J3" s="13"/>
      <c r="K3" s="13"/>
      <c r="L3" s="13"/>
      <c r="M3" s="13"/>
      <c r="N3" s="13"/>
      <c r="O3" s="13"/>
      <c r="P3" s="13"/>
      <c r="Q3" s="16"/>
    </row>
    <row r="4" ht="14.25" customHeight="1">
      <c r="A4" s="21"/>
      <c r="B4" s="26"/>
      <c r="Q4" s="27"/>
    </row>
    <row r="5" ht="14.25" customHeight="1">
      <c r="A5" s="21"/>
      <c r="B5" s="23"/>
      <c r="C5" s="6"/>
      <c r="D5" s="6"/>
      <c r="E5" s="6"/>
      <c r="F5" s="6"/>
      <c r="G5" s="6"/>
      <c r="H5" s="6"/>
      <c r="I5" s="6"/>
      <c r="J5" s="6"/>
      <c r="K5" s="6"/>
      <c r="L5" s="6"/>
      <c r="M5" s="6"/>
      <c r="N5" s="6"/>
      <c r="O5" s="6"/>
      <c r="P5" s="6"/>
      <c r="Q5" s="25"/>
    </row>
    <row r="6" ht="15.0" customHeight="1">
      <c r="A6" s="21"/>
      <c r="B6" s="115" t="s">
        <v>237</v>
      </c>
      <c r="C6" s="13"/>
      <c r="D6" s="13"/>
      <c r="E6" s="13"/>
      <c r="F6" s="13"/>
      <c r="G6" s="13"/>
      <c r="H6" s="13"/>
      <c r="I6" s="13"/>
      <c r="J6" s="13"/>
      <c r="K6" s="13"/>
      <c r="L6" s="13"/>
      <c r="M6" s="13"/>
      <c r="N6" s="13"/>
      <c r="O6" s="13"/>
      <c r="P6" s="13"/>
      <c r="Q6" s="16"/>
    </row>
    <row r="7" ht="14.25" customHeight="1">
      <c r="A7" s="21"/>
      <c r="B7" s="26"/>
      <c r="Q7" s="27"/>
    </row>
    <row r="8" ht="14.25" customHeight="1">
      <c r="A8" s="21"/>
      <c r="B8" s="26"/>
      <c r="Q8" s="27"/>
    </row>
    <row r="9" ht="14.25" customHeight="1">
      <c r="A9" s="21"/>
      <c r="B9" s="23"/>
      <c r="C9" s="6"/>
      <c r="D9" s="6"/>
      <c r="E9" s="6"/>
      <c r="F9" s="6"/>
      <c r="G9" s="6"/>
      <c r="H9" s="6"/>
      <c r="I9" s="6"/>
      <c r="J9" s="6"/>
      <c r="K9" s="6"/>
      <c r="L9" s="6"/>
      <c r="M9" s="6"/>
      <c r="N9" s="6"/>
      <c r="O9" s="6"/>
      <c r="P9" s="6"/>
      <c r="Q9" s="25"/>
    </row>
    <row r="10" ht="15.0" customHeight="1">
      <c r="A10" s="21"/>
      <c r="B10" s="115" t="s">
        <v>238</v>
      </c>
      <c r="C10" s="13"/>
      <c r="D10" s="13"/>
      <c r="E10" s="13"/>
      <c r="F10" s="13"/>
      <c r="G10" s="13"/>
      <c r="H10" s="13"/>
      <c r="I10" s="13"/>
      <c r="J10" s="13"/>
      <c r="K10" s="13"/>
      <c r="L10" s="13"/>
      <c r="M10" s="13"/>
      <c r="N10" s="13"/>
      <c r="O10" s="13"/>
      <c r="P10" s="13"/>
      <c r="Q10" s="16"/>
    </row>
    <row r="11" ht="14.25" customHeight="1">
      <c r="A11" s="21"/>
      <c r="B11" s="26"/>
      <c r="Q11" s="27"/>
    </row>
    <row r="12" ht="14.25" customHeight="1">
      <c r="A12" s="21"/>
      <c r="B12" s="26"/>
      <c r="Q12" s="27"/>
    </row>
    <row r="13" ht="14.25" customHeight="1">
      <c r="A13" s="21"/>
      <c r="B13" s="23"/>
      <c r="C13" s="6"/>
      <c r="D13" s="6"/>
      <c r="E13" s="6"/>
      <c r="F13" s="6"/>
      <c r="G13" s="6"/>
      <c r="H13" s="6"/>
      <c r="I13" s="6"/>
      <c r="J13" s="6"/>
      <c r="K13" s="6"/>
      <c r="L13" s="6"/>
      <c r="M13" s="6"/>
      <c r="N13" s="6"/>
      <c r="O13" s="6"/>
      <c r="P13" s="6"/>
      <c r="Q13" s="25"/>
    </row>
    <row r="14" ht="15.0" customHeight="1">
      <c r="A14" s="21"/>
      <c r="B14" s="115" t="s">
        <v>239</v>
      </c>
      <c r="C14" s="13"/>
      <c r="D14" s="13"/>
      <c r="E14" s="13"/>
      <c r="F14" s="13"/>
      <c r="G14" s="13"/>
      <c r="H14" s="13"/>
      <c r="I14" s="13"/>
      <c r="J14" s="13"/>
      <c r="K14" s="13"/>
      <c r="L14" s="13"/>
      <c r="M14" s="13"/>
      <c r="N14" s="13"/>
      <c r="O14" s="13"/>
      <c r="P14" s="13"/>
      <c r="Q14" s="16"/>
      <c r="R14" s="52"/>
    </row>
    <row r="15" ht="14.25" customHeight="1">
      <c r="A15" s="21"/>
      <c r="B15" s="26"/>
      <c r="Q15" s="27"/>
      <c r="R15" s="52"/>
    </row>
    <row r="16" ht="14.25" customHeight="1">
      <c r="A16" s="21"/>
      <c r="B16" s="26"/>
      <c r="Q16" s="27"/>
      <c r="R16" s="52"/>
    </row>
    <row r="17" ht="14.25" customHeight="1">
      <c r="A17" s="28"/>
      <c r="B17" s="23"/>
      <c r="C17" s="6"/>
      <c r="D17" s="6"/>
      <c r="E17" s="6"/>
      <c r="F17" s="6"/>
      <c r="G17" s="6"/>
      <c r="H17" s="6"/>
      <c r="I17" s="6"/>
      <c r="J17" s="6"/>
      <c r="K17" s="6"/>
      <c r="L17" s="6"/>
      <c r="M17" s="6"/>
      <c r="N17" s="6"/>
      <c r="O17" s="6"/>
      <c r="P17" s="6"/>
      <c r="Q17" s="25"/>
      <c r="R17" s="52"/>
    </row>
    <row r="18" ht="14.25" customHeight="1">
      <c r="A18" s="63"/>
      <c r="B18" s="64"/>
      <c r="C18" s="1" t="s">
        <v>240</v>
      </c>
    </row>
    <row r="19" ht="15.0" customHeight="1">
      <c r="A19" s="170" t="s">
        <v>241</v>
      </c>
      <c r="B19" s="171" t="s">
        <v>57</v>
      </c>
      <c r="C19" s="115" t="s">
        <v>242</v>
      </c>
      <c r="D19" s="13"/>
      <c r="E19" s="13"/>
      <c r="F19" s="13"/>
      <c r="G19" s="13"/>
      <c r="H19" s="13"/>
      <c r="I19" s="13"/>
      <c r="J19" s="13"/>
      <c r="K19" s="13"/>
      <c r="L19" s="13"/>
      <c r="M19" s="13"/>
      <c r="N19" s="13"/>
      <c r="O19" s="13"/>
      <c r="P19" s="13"/>
      <c r="Q19" s="16"/>
    </row>
    <row r="20" ht="14.25" customHeight="1">
      <c r="A20" s="21"/>
      <c r="B20" s="28"/>
      <c r="C20" s="23"/>
      <c r="D20" s="6"/>
      <c r="E20" s="6"/>
      <c r="F20" s="6"/>
      <c r="G20" s="6"/>
      <c r="H20" s="6"/>
      <c r="I20" s="6"/>
      <c r="J20" s="6"/>
      <c r="K20" s="6"/>
      <c r="L20" s="6"/>
      <c r="M20" s="6"/>
      <c r="N20" s="6"/>
      <c r="O20" s="6"/>
      <c r="P20" s="6"/>
      <c r="Q20" s="25"/>
    </row>
    <row r="21" ht="15.0" customHeight="1">
      <c r="A21" s="21"/>
      <c r="B21" s="171" t="s">
        <v>84</v>
      </c>
      <c r="C21" s="115" t="s">
        <v>243</v>
      </c>
      <c r="D21" s="13"/>
      <c r="E21" s="13"/>
      <c r="F21" s="13"/>
      <c r="G21" s="13"/>
      <c r="H21" s="13"/>
      <c r="I21" s="13"/>
      <c r="J21" s="13"/>
      <c r="K21" s="13"/>
      <c r="L21" s="13"/>
      <c r="M21" s="13"/>
      <c r="N21" s="13"/>
      <c r="O21" s="13"/>
      <c r="P21" s="13"/>
      <c r="Q21" s="16"/>
    </row>
    <row r="22" ht="14.25" customHeight="1">
      <c r="A22" s="21"/>
      <c r="B22" s="28"/>
      <c r="C22" s="23"/>
      <c r="D22" s="6"/>
      <c r="E22" s="6"/>
      <c r="F22" s="6"/>
      <c r="G22" s="6"/>
      <c r="H22" s="6"/>
      <c r="I22" s="6"/>
      <c r="J22" s="6"/>
      <c r="K22" s="6"/>
      <c r="L22" s="6"/>
      <c r="M22" s="6"/>
      <c r="N22" s="6"/>
      <c r="O22" s="6"/>
      <c r="P22" s="6"/>
      <c r="Q22" s="25"/>
    </row>
    <row r="23" ht="15.75" customHeight="1">
      <c r="A23" s="21"/>
      <c r="B23" s="171" t="s">
        <v>244</v>
      </c>
      <c r="C23" s="172" t="s">
        <v>245</v>
      </c>
      <c r="D23" s="13"/>
      <c r="E23" s="13"/>
      <c r="F23" s="13"/>
      <c r="G23" s="13"/>
      <c r="H23" s="13"/>
      <c r="I23" s="13"/>
      <c r="J23" s="13"/>
      <c r="K23" s="13"/>
      <c r="L23" s="13"/>
      <c r="M23" s="13"/>
      <c r="N23" s="13"/>
      <c r="O23" s="13"/>
      <c r="P23" s="13"/>
      <c r="Q23" s="16"/>
    </row>
    <row r="24" ht="15.75" customHeight="1">
      <c r="A24" s="21"/>
      <c r="B24" s="21"/>
      <c r="C24" s="26"/>
      <c r="Q24" s="27"/>
    </row>
    <row r="25" ht="15.75" customHeight="1">
      <c r="A25" s="28"/>
      <c r="B25" s="28"/>
      <c r="C25" s="23"/>
      <c r="D25" s="6"/>
      <c r="E25" s="6"/>
      <c r="F25" s="6"/>
      <c r="G25" s="6"/>
      <c r="H25" s="6"/>
      <c r="I25" s="6"/>
      <c r="J25" s="6"/>
      <c r="K25" s="6"/>
      <c r="L25" s="6"/>
      <c r="M25" s="6"/>
      <c r="N25" s="6"/>
      <c r="O25" s="6"/>
      <c r="P25" s="6"/>
      <c r="Q25" s="25"/>
    </row>
    <row r="26" ht="15.75" customHeight="1">
      <c r="A26" s="173"/>
      <c r="B26" s="128"/>
      <c r="C26" s="109"/>
      <c r="D26" s="109"/>
      <c r="E26" s="109"/>
      <c r="F26" s="109"/>
      <c r="G26" s="109"/>
      <c r="H26" s="109"/>
      <c r="I26" s="109"/>
      <c r="J26" s="109"/>
      <c r="K26" s="109"/>
      <c r="L26" s="109"/>
      <c r="M26" s="109"/>
      <c r="N26" s="109"/>
      <c r="O26" s="109"/>
      <c r="P26" s="109"/>
      <c r="Q26" s="109"/>
    </row>
    <row r="27" ht="14.25" customHeight="1">
      <c r="A27" s="174" t="s">
        <v>246</v>
      </c>
      <c r="B27" s="51"/>
      <c r="C27" s="117" t="s">
        <v>247</v>
      </c>
      <c r="D27" s="50"/>
      <c r="E27" s="50"/>
      <c r="F27" s="50"/>
      <c r="G27" s="50"/>
      <c r="H27" s="50"/>
      <c r="I27" s="50"/>
      <c r="J27" s="50"/>
      <c r="K27" s="50"/>
      <c r="L27" s="50"/>
      <c r="M27" s="50"/>
      <c r="N27" s="50"/>
      <c r="O27" s="50"/>
      <c r="P27" s="50"/>
      <c r="Q27" s="51"/>
    </row>
    <row r="28" ht="14.25" customHeight="1">
      <c r="B28" s="64"/>
    </row>
    <row r="29" ht="14.25" customHeight="1">
      <c r="A29" s="175" t="s">
        <v>248</v>
      </c>
      <c r="B29" s="176"/>
      <c r="C29" s="176"/>
      <c r="D29" s="176"/>
      <c r="E29" s="176"/>
      <c r="F29" s="176"/>
      <c r="G29" s="64"/>
      <c r="H29" s="64"/>
      <c r="I29" s="64"/>
      <c r="J29" s="64"/>
      <c r="K29" s="64"/>
      <c r="L29" s="64"/>
      <c r="M29" s="64"/>
      <c r="N29" s="64"/>
      <c r="O29" s="64"/>
      <c r="P29" s="64"/>
      <c r="Q29" s="64"/>
    </row>
    <row r="30" ht="15.0" customHeight="1">
      <c r="A30" s="177" t="s">
        <v>7</v>
      </c>
      <c r="B30" s="178"/>
      <c r="C30" s="179" t="s">
        <v>43</v>
      </c>
      <c r="D30" s="180" t="s">
        <v>249</v>
      </c>
      <c r="E30" s="13"/>
      <c r="F30" s="16"/>
      <c r="G30" s="181" t="s">
        <v>250</v>
      </c>
      <c r="H30" s="13"/>
      <c r="I30" s="13"/>
      <c r="J30" s="16"/>
      <c r="K30" s="96" t="s">
        <v>251</v>
      </c>
      <c r="L30" s="16"/>
      <c r="M30" s="182" t="s">
        <v>252</v>
      </c>
      <c r="N30" s="183" t="s">
        <v>253</v>
      </c>
      <c r="O30" s="183" t="s">
        <v>254</v>
      </c>
      <c r="P30" s="183" t="s">
        <v>255</v>
      </c>
      <c r="Q30" s="183" t="s">
        <v>256</v>
      </c>
    </row>
    <row r="31" ht="14.25" customHeight="1">
      <c r="A31" s="21"/>
      <c r="B31" s="28"/>
      <c r="C31" s="184"/>
      <c r="D31" s="23"/>
      <c r="E31" s="6"/>
      <c r="F31" s="25"/>
      <c r="G31" s="23"/>
      <c r="H31" s="6"/>
      <c r="I31" s="6"/>
      <c r="J31" s="25"/>
      <c r="K31" s="26"/>
      <c r="L31" s="27"/>
      <c r="M31" s="21"/>
      <c r="N31" s="21"/>
      <c r="O31" s="21"/>
      <c r="P31" s="21"/>
      <c r="Q31" s="21"/>
    </row>
    <row r="32" ht="14.25" customHeight="1">
      <c r="A32" s="28"/>
      <c r="B32" s="185" t="s">
        <v>257</v>
      </c>
      <c r="C32" s="186" t="s">
        <v>25</v>
      </c>
      <c r="D32" s="187" t="s">
        <v>258</v>
      </c>
      <c r="E32" s="188" t="s">
        <v>259</v>
      </c>
      <c r="F32" s="51"/>
      <c r="G32" s="189" t="s">
        <v>258</v>
      </c>
      <c r="H32" s="51"/>
      <c r="I32" s="189" t="s">
        <v>259</v>
      </c>
      <c r="J32" s="51"/>
      <c r="K32" s="23"/>
      <c r="L32" s="25"/>
      <c r="M32" s="28"/>
      <c r="N32" s="28"/>
      <c r="O32" s="28"/>
      <c r="P32" s="28"/>
      <c r="Q32" s="28"/>
    </row>
    <row r="33" ht="14.25" customHeight="1">
      <c r="A33" s="190" t="s">
        <v>260</v>
      </c>
      <c r="B33" s="34" t="s">
        <v>261</v>
      </c>
      <c r="C33" s="191">
        <v>0.01</v>
      </c>
      <c r="D33" s="192">
        <v>0.01</v>
      </c>
      <c r="E33" s="193" t="s">
        <v>251</v>
      </c>
      <c r="F33" s="51"/>
      <c r="G33" s="194">
        <v>0.2</v>
      </c>
      <c r="H33" s="51"/>
      <c r="I33" s="195" t="s">
        <v>262</v>
      </c>
      <c r="J33" s="51"/>
      <c r="K33" s="196" t="s">
        <v>263</v>
      </c>
      <c r="L33" s="51"/>
      <c r="M33" s="197" t="s">
        <v>264</v>
      </c>
      <c r="N33" s="197" t="s">
        <v>265</v>
      </c>
      <c r="O33" s="197" t="s">
        <v>266</v>
      </c>
      <c r="P33" s="197" t="s">
        <v>267</v>
      </c>
      <c r="Q33" s="197" t="s">
        <v>268</v>
      </c>
    </row>
    <row r="34" ht="14.25" customHeight="1">
      <c r="A34" s="190" t="s">
        <v>269</v>
      </c>
      <c r="B34" s="34" t="s">
        <v>270</v>
      </c>
      <c r="C34" s="191">
        <v>0.01</v>
      </c>
      <c r="D34" s="192">
        <v>0.1</v>
      </c>
      <c r="E34" s="193" t="s">
        <v>271</v>
      </c>
      <c r="F34" s="51"/>
      <c r="G34" s="194">
        <v>0.2</v>
      </c>
      <c r="H34" s="51"/>
      <c r="I34" s="194" t="s">
        <v>271</v>
      </c>
      <c r="J34" s="51"/>
      <c r="K34" s="196" t="s">
        <v>272</v>
      </c>
      <c r="L34" s="51"/>
      <c r="M34" s="197"/>
      <c r="N34" s="198"/>
      <c r="O34" s="199"/>
      <c r="P34" s="199"/>
      <c r="Q34" s="199"/>
    </row>
    <row r="35" ht="64.5" customHeight="1">
      <c r="A35" s="190" t="s">
        <v>273</v>
      </c>
      <c r="B35" s="34" t="s">
        <v>274</v>
      </c>
      <c r="C35" s="191">
        <v>35.0</v>
      </c>
      <c r="D35" s="192">
        <v>30.0</v>
      </c>
      <c r="E35" s="193" t="s">
        <v>275</v>
      </c>
      <c r="F35" s="51"/>
      <c r="G35" s="200">
        <v>25.0</v>
      </c>
      <c r="H35" s="51"/>
      <c r="I35" s="194" t="s">
        <v>275</v>
      </c>
      <c r="J35" s="51"/>
      <c r="K35" s="196" t="s">
        <v>276</v>
      </c>
      <c r="L35" s="51"/>
      <c r="M35" s="197" t="s">
        <v>277</v>
      </c>
      <c r="N35" s="197" t="s">
        <v>278</v>
      </c>
      <c r="O35" s="197" t="s">
        <v>279</v>
      </c>
      <c r="P35" s="197" t="s">
        <v>280</v>
      </c>
      <c r="Q35" s="197" t="s">
        <v>281</v>
      </c>
    </row>
    <row r="36" ht="41.25" customHeight="1">
      <c r="A36" s="190" t="s">
        <v>282</v>
      </c>
      <c r="B36" s="34" t="s">
        <v>283</v>
      </c>
      <c r="C36" s="191">
        <v>50.0</v>
      </c>
      <c r="D36" s="192">
        <v>50.0</v>
      </c>
      <c r="E36" s="193" t="s">
        <v>284</v>
      </c>
      <c r="F36" s="51"/>
      <c r="G36" s="200">
        <v>100.0</v>
      </c>
      <c r="H36" s="51"/>
      <c r="I36" s="194" t="s">
        <v>284</v>
      </c>
      <c r="J36" s="51"/>
      <c r="K36" s="196" t="s">
        <v>285</v>
      </c>
      <c r="L36" s="51"/>
      <c r="M36" s="197" t="s">
        <v>286</v>
      </c>
      <c r="N36" s="197" t="s">
        <v>287</v>
      </c>
      <c r="O36" s="197" t="s">
        <v>288</v>
      </c>
      <c r="P36" s="197" t="s">
        <v>289</v>
      </c>
      <c r="Q36" s="197" t="s">
        <v>290</v>
      </c>
    </row>
    <row r="37" ht="41.25" customHeight="1">
      <c r="A37" s="190" t="s">
        <v>291</v>
      </c>
      <c r="B37" s="34" t="s">
        <v>292</v>
      </c>
      <c r="C37" s="201">
        <v>15.0</v>
      </c>
      <c r="D37" s="202" t="s">
        <v>25</v>
      </c>
      <c r="E37" s="203" t="s">
        <v>25</v>
      </c>
      <c r="F37" s="51"/>
      <c r="G37" s="204" t="s">
        <v>25</v>
      </c>
      <c r="H37" s="51"/>
      <c r="I37" s="204" t="s">
        <v>25</v>
      </c>
      <c r="J37" s="51"/>
      <c r="K37" s="196" t="s">
        <v>293</v>
      </c>
      <c r="L37" s="51"/>
      <c r="M37" s="197" t="s">
        <v>294</v>
      </c>
      <c r="N37" s="197" t="s">
        <v>295</v>
      </c>
      <c r="O37" s="199" t="s">
        <v>296</v>
      </c>
      <c r="P37" s="199" t="s">
        <v>297</v>
      </c>
      <c r="Q37" s="199" t="s">
        <v>298</v>
      </c>
    </row>
    <row r="38" ht="36.75" customHeight="1">
      <c r="A38" s="190" t="s">
        <v>33</v>
      </c>
      <c r="B38" s="34" t="s">
        <v>292</v>
      </c>
      <c r="C38" s="191" t="s">
        <v>25</v>
      </c>
      <c r="D38" s="205" t="s">
        <v>299</v>
      </c>
      <c r="E38" s="206" t="s">
        <v>300</v>
      </c>
      <c r="F38" s="51"/>
      <c r="G38" s="207" t="s">
        <v>301</v>
      </c>
      <c r="H38" s="51"/>
      <c r="I38" s="207" t="s">
        <v>300</v>
      </c>
      <c r="J38" s="51"/>
      <c r="K38" s="196" t="s">
        <v>302</v>
      </c>
      <c r="L38" s="51"/>
      <c r="M38" s="197" t="s">
        <v>303</v>
      </c>
      <c r="N38" s="197" t="s">
        <v>304</v>
      </c>
      <c r="O38" s="197" t="s">
        <v>266</v>
      </c>
      <c r="P38" s="199" t="s">
        <v>305</v>
      </c>
      <c r="Q38" s="199" t="s">
        <v>306</v>
      </c>
    </row>
    <row r="39" ht="14.25" customHeight="1">
      <c r="A39" s="190" t="s">
        <v>39</v>
      </c>
      <c r="B39" s="44" t="s">
        <v>307</v>
      </c>
      <c r="C39" s="208" t="s">
        <v>308</v>
      </c>
      <c r="D39" s="209" t="s">
        <v>25</v>
      </c>
      <c r="E39" s="193" t="s">
        <v>25</v>
      </c>
      <c r="F39" s="51"/>
      <c r="G39" s="194" t="s">
        <v>25</v>
      </c>
      <c r="H39" s="51"/>
      <c r="I39" s="194" t="s">
        <v>25</v>
      </c>
      <c r="J39" s="51"/>
      <c r="K39" s="210"/>
      <c r="L39" s="51"/>
      <c r="M39" s="34" t="s">
        <v>25</v>
      </c>
      <c r="N39" s="34" t="s">
        <v>25</v>
      </c>
      <c r="O39" s="34" t="s">
        <v>25</v>
      </c>
      <c r="P39" s="34" t="s">
        <v>25</v>
      </c>
      <c r="Q39" s="34" t="s">
        <v>25</v>
      </c>
    </row>
    <row r="40" ht="14.25" customHeight="1">
      <c r="A40" s="190" t="s">
        <v>309</v>
      </c>
      <c r="B40" s="44" t="s">
        <v>310</v>
      </c>
      <c r="C40" s="211">
        <v>300.0</v>
      </c>
      <c r="D40" s="209" t="s">
        <v>25</v>
      </c>
      <c r="E40" s="193" t="s">
        <v>25</v>
      </c>
      <c r="F40" s="51"/>
      <c r="G40" s="194" t="s">
        <v>25</v>
      </c>
      <c r="H40" s="51"/>
      <c r="I40" s="194" t="s">
        <v>25</v>
      </c>
      <c r="J40" s="51"/>
      <c r="K40" s="210"/>
      <c r="L40" s="51"/>
      <c r="M40" s="34"/>
      <c r="N40" s="34"/>
      <c r="O40" s="34"/>
      <c r="P40" s="34"/>
      <c r="Q40" s="34"/>
    </row>
    <row r="41" ht="14.25" customHeight="1">
      <c r="A41" s="190" t="s">
        <v>311</v>
      </c>
      <c r="B41" s="44" t="s">
        <v>310</v>
      </c>
      <c r="C41" s="211">
        <v>340.0</v>
      </c>
      <c r="D41" s="209">
        <v>340.0</v>
      </c>
      <c r="E41" s="212" t="s">
        <v>312</v>
      </c>
      <c r="F41" s="51"/>
      <c r="G41" s="200">
        <v>340.0</v>
      </c>
      <c r="H41" s="51"/>
      <c r="I41" s="207" t="s">
        <v>312</v>
      </c>
      <c r="J41" s="51"/>
      <c r="K41" s="210"/>
      <c r="L41" s="51"/>
      <c r="M41" s="34"/>
      <c r="N41" s="34"/>
      <c r="O41" s="34"/>
      <c r="P41" s="34"/>
      <c r="Q41" s="34"/>
    </row>
    <row r="42" ht="14.25" customHeight="1">
      <c r="A42" s="190" t="s">
        <v>313</v>
      </c>
      <c r="B42" s="44" t="s">
        <v>314</v>
      </c>
      <c r="C42" s="211">
        <v>-50.0</v>
      </c>
      <c r="D42" s="209" t="s">
        <v>25</v>
      </c>
      <c r="E42" s="193" t="s">
        <v>25</v>
      </c>
      <c r="F42" s="51"/>
      <c r="G42" s="194" t="s">
        <v>25</v>
      </c>
      <c r="H42" s="51"/>
      <c r="I42" s="194" t="s">
        <v>25</v>
      </c>
      <c r="J42" s="51"/>
      <c r="K42" s="210"/>
      <c r="L42" s="51"/>
      <c r="M42" s="34"/>
      <c r="N42" s="34"/>
      <c r="O42" s="34"/>
      <c r="P42" s="34"/>
      <c r="Q42" s="34"/>
    </row>
    <row r="43" ht="14.25" customHeight="1">
      <c r="A43" s="190" t="s">
        <v>315</v>
      </c>
      <c r="B43" s="44" t="s">
        <v>316</v>
      </c>
      <c r="C43" s="208" t="s">
        <v>317</v>
      </c>
      <c r="D43" s="209" t="s">
        <v>25</v>
      </c>
      <c r="E43" s="193" t="s">
        <v>25</v>
      </c>
      <c r="F43" s="51"/>
      <c r="G43" s="194" t="s">
        <v>25</v>
      </c>
      <c r="H43" s="51"/>
      <c r="I43" s="194" t="s">
        <v>25</v>
      </c>
      <c r="J43" s="51"/>
      <c r="K43" s="210"/>
      <c r="L43" s="51"/>
      <c r="M43" s="34"/>
      <c r="N43" s="34"/>
      <c r="O43" s="34"/>
      <c r="P43" s="34"/>
      <c r="Q43" s="34"/>
    </row>
    <row r="44" ht="14.25" customHeight="1">
      <c r="A44" s="190" t="s">
        <v>318</v>
      </c>
      <c r="B44" s="44" t="s">
        <v>319</v>
      </c>
      <c r="C44" s="208" t="s">
        <v>320</v>
      </c>
      <c r="D44" s="209" t="s">
        <v>321</v>
      </c>
      <c r="E44" s="212" t="s">
        <v>322</v>
      </c>
      <c r="F44" s="51"/>
      <c r="G44" s="194" t="s">
        <v>321</v>
      </c>
      <c r="H44" s="51"/>
      <c r="I44" s="207" t="s">
        <v>322</v>
      </c>
      <c r="J44" s="51"/>
      <c r="K44" s="210"/>
      <c r="L44" s="51"/>
      <c r="M44" s="34"/>
      <c r="N44" s="34"/>
      <c r="O44" s="34"/>
      <c r="P44" s="34"/>
      <c r="Q44" s="34"/>
    </row>
    <row r="45" ht="14.25" customHeight="1">
      <c r="A45" s="190" t="s">
        <v>323</v>
      </c>
      <c r="B45" s="44" t="s">
        <v>324</v>
      </c>
      <c r="C45" s="208" t="s">
        <v>325</v>
      </c>
      <c r="D45" s="209" t="s">
        <v>25</v>
      </c>
      <c r="E45" s="193" t="s">
        <v>25</v>
      </c>
      <c r="F45" s="51"/>
      <c r="G45" s="194" t="s">
        <v>25</v>
      </c>
      <c r="H45" s="51"/>
      <c r="I45" s="194" t="s">
        <v>25</v>
      </c>
      <c r="J45" s="51"/>
      <c r="K45" s="210"/>
      <c r="L45" s="51"/>
      <c r="M45" s="34"/>
      <c r="N45" s="34"/>
      <c r="O45" s="34"/>
      <c r="P45" s="34"/>
      <c r="Q45" s="34"/>
    </row>
    <row r="46" ht="14.25" customHeight="1">
      <c r="A46" s="190" t="s">
        <v>326</v>
      </c>
      <c r="B46" s="44" t="s">
        <v>324</v>
      </c>
      <c r="C46" s="208" t="s">
        <v>327</v>
      </c>
      <c r="D46" s="209" t="s">
        <v>25</v>
      </c>
      <c r="E46" s="193" t="s">
        <v>25</v>
      </c>
      <c r="F46" s="51"/>
      <c r="G46" s="194" t="s">
        <v>25</v>
      </c>
      <c r="H46" s="51"/>
      <c r="I46" s="194" t="s">
        <v>25</v>
      </c>
      <c r="J46" s="51"/>
      <c r="K46" s="210"/>
      <c r="L46" s="51"/>
      <c r="M46" s="34"/>
      <c r="N46" s="34"/>
      <c r="O46" s="34"/>
      <c r="P46" s="34"/>
      <c r="Q46" s="34"/>
    </row>
    <row r="47" ht="14.25" customHeight="1">
      <c r="A47" s="190" t="s">
        <v>328</v>
      </c>
      <c r="B47" s="34" t="s">
        <v>329</v>
      </c>
      <c r="C47" s="213">
        <v>0.5</v>
      </c>
      <c r="D47" s="192" t="s">
        <v>25</v>
      </c>
      <c r="E47" s="193" t="s">
        <v>25</v>
      </c>
      <c r="F47" s="51"/>
      <c r="G47" s="194" t="s">
        <v>25</v>
      </c>
      <c r="H47" s="51"/>
      <c r="I47" s="194" t="s">
        <v>25</v>
      </c>
      <c r="J47" s="51"/>
      <c r="K47" s="210"/>
      <c r="L47" s="51"/>
      <c r="M47" s="34"/>
      <c r="N47" s="34"/>
      <c r="O47" s="34"/>
      <c r="P47" s="34"/>
      <c r="Q47" s="34"/>
    </row>
    <row r="48" ht="14.25" customHeight="1">
      <c r="B48" s="64"/>
    </row>
    <row r="49" ht="14.25" customHeight="1">
      <c r="B49" s="64"/>
    </row>
    <row r="50" ht="14.25" customHeight="1">
      <c r="A50" s="214" t="s">
        <v>330</v>
      </c>
      <c r="B50" s="64"/>
    </row>
    <row r="51" ht="14.25" customHeight="1">
      <c r="B51" s="64"/>
    </row>
    <row r="52" ht="14.25" customHeight="1">
      <c r="A52" s="94"/>
      <c r="B52" s="91" t="s">
        <v>331</v>
      </c>
      <c r="C52" s="215" t="s">
        <v>332</v>
      </c>
      <c r="D52" s="215" t="s">
        <v>333</v>
      </c>
      <c r="E52" s="215" t="s">
        <v>75</v>
      </c>
      <c r="F52" s="215" t="s">
        <v>76</v>
      </c>
      <c r="G52" s="215" t="s">
        <v>77</v>
      </c>
      <c r="H52" s="215" t="s">
        <v>78</v>
      </c>
      <c r="I52" s="215" t="s">
        <v>79</v>
      </c>
      <c r="J52" s="215" t="s">
        <v>80</v>
      </c>
    </row>
    <row r="53" ht="14.25" customHeight="1">
      <c r="A53" s="90" t="s">
        <v>334</v>
      </c>
      <c r="B53" s="97">
        <v>200.0</v>
      </c>
      <c r="C53" s="97" t="s">
        <v>25</v>
      </c>
      <c r="D53" s="97" t="s">
        <v>25</v>
      </c>
      <c r="E53" s="97">
        <v>100.0</v>
      </c>
      <c r="F53" s="97">
        <v>3000.0</v>
      </c>
      <c r="G53" s="97">
        <v>30000.0</v>
      </c>
      <c r="H53" s="97">
        <v>30.0</v>
      </c>
      <c r="I53" s="97">
        <v>30.0</v>
      </c>
      <c r="J53" s="97">
        <v>1.0</v>
      </c>
      <c r="K53" s="1" t="s">
        <v>335</v>
      </c>
    </row>
    <row r="54" ht="14.25" customHeight="1">
      <c r="A54" s="90" t="s">
        <v>41</v>
      </c>
      <c r="B54" s="97" t="s">
        <v>25</v>
      </c>
      <c r="C54" s="97" t="s">
        <v>25</v>
      </c>
      <c r="D54" s="97" t="s">
        <v>25</v>
      </c>
      <c r="E54" s="97" t="s">
        <v>25</v>
      </c>
      <c r="F54" s="97" t="s">
        <v>25</v>
      </c>
      <c r="G54" s="97" t="s">
        <v>25</v>
      </c>
      <c r="H54" s="97" t="s">
        <v>25</v>
      </c>
      <c r="I54" s="97" t="s">
        <v>25</v>
      </c>
      <c r="J54" s="97" t="s">
        <v>25</v>
      </c>
    </row>
    <row r="55" ht="14.25" customHeight="1">
      <c r="B55" s="216" t="s">
        <v>336</v>
      </c>
    </row>
    <row r="56" ht="14.25" customHeight="1">
      <c r="B56" s="216" t="s">
        <v>337</v>
      </c>
    </row>
    <row r="57" ht="14.25" customHeight="1">
      <c r="B57" s="217" t="s">
        <v>338</v>
      </c>
    </row>
    <row r="58" ht="14.25" customHeight="1">
      <c r="B58" s="2" t="s">
        <v>339</v>
      </c>
    </row>
    <row r="59" ht="14.25" customHeight="1">
      <c r="B59" s="164" t="s">
        <v>340</v>
      </c>
    </row>
    <row r="60" ht="14.25" customHeight="1">
      <c r="B60" s="64"/>
    </row>
    <row r="61" ht="14.25" customHeight="1">
      <c r="B61" s="64"/>
    </row>
    <row r="62" ht="14.25" customHeight="1">
      <c r="B62" s="64"/>
    </row>
    <row r="63" ht="14.25" customHeight="1">
      <c r="B63" s="64"/>
    </row>
    <row r="64" ht="14.25" customHeight="1">
      <c r="B64" s="64"/>
    </row>
    <row r="65" ht="14.25" customHeight="1">
      <c r="B65" s="64"/>
    </row>
    <row r="66" ht="14.25" customHeight="1">
      <c r="B66" s="64"/>
    </row>
    <row r="67" ht="14.25" customHeight="1">
      <c r="B67" s="64"/>
    </row>
    <row r="68" ht="14.25" customHeight="1">
      <c r="B68" s="64"/>
    </row>
    <row r="69" ht="14.25" customHeight="1">
      <c r="B69" s="64"/>
    </row>
    <row r="70" ht="14.25" customHeight="1">
      <c r="B70" s="64"/>
    </row>
    <row r="71" ht="14.25" customHeight="1">
      <c r="B71" s="64"/>
    </row>
    <row r="72" ht="14.25" customHeight="1">
      <c r="B72" s="64"/>
    </row>
    <row r="73" ht="14.25" customHeight="1">
      <c r="B73" s="64"/>
    </row>
    <row r="74" ht="14.25" customHeight="1">
      <c r="B74" s="64"/>
    </row>
    <row r="75" ht="14.25" customHeight="1">
      <c r="B75" s="64"/>
    </row>
    <row r="76" ht="14.25" customHeight="1">
      <c r="B76" s="64"/>
    </row>
    <row r="77" ht="14.25" customHeight="1">
      <c r="B77" s="64"/>
    </row>
    <row r="78" ht="14.25" customHeight="1">
      <c r="B78" s="64"/>
    </row>
    <row r="79" ht="14.25" customHeight="1">
      <c r="B79" s="64"/>
    </row>
    <row r="80" ht="14.25" customHeight="1">
      <c r="B80" s="64"/>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2">
    <mergeCell ref="B19:B20"/>
    <mergeCell ref="B21:B22"/>
    <mergeCell ref="C23:Q25"/>
    <mergeCell ref="C27:Q27"/>
    <mergeCell ref="A3:A17"/>
    <mergeCell ref="B3:Q5"/>
    <mergeCell ref="B6:Q9"/>
    <mergeCell ref="B10:Q13"/>
    <mergeCell ref="B14:Q17"/>
    <mergeCell ref="C19:Q20"/>
    <mergeCell ref="C21:Q22"/>
    <mergeCell ref="G32:H32"/>
    <mergeCell ref="I32:J32"/>
    <mergeCell ref="G30:J31"/>
    <mergeCell ref="K30:L32"/>
    <mergeCell ref="M30:M32"/>
    <mergeCell ref="N30:N32"/>
    <mergeCell ref="O30:O32"/>
    <mergeCell ref="P30:P32"/>
    <mergeCell ref="Q30:Q32"/>
    <mergeCell ref="A19:A25"/>
    <mergeCell ref="B23:B25"/>
    <mergeCell ref="A27:B27"/>
    <mergeCell ref="A30:A32"/>
    <mergeCell ref="B30:B31"/>
    <mergeCell ref="C30:C31"/>
    <mergeCell ref="D30:F31"/>
    <mergeCell ref="E35:F35"/>
    <mergeCell ref="G35:H35"/>
    <mergeCell ref="I35:J35"/>
    <mergeCell ref="K35:L35"/>
    <mergeCell ref="E40:F40"/>
    <mergeCell ref="G40:H40"/>
    <mergeCell ref="I40:J40"/>
    <mergeCell ref="K40:L40"/>
    <mergeCell ref="G41:H41"/>
    <mergeCell ref="I41:J41"/>
    <mergeCell ref="K41:L41"/>
    <mergeCell ref="E41:F41"/>
    <mergeCell ref="E42:F42"/>
    <mergeCell ref="G42:H42"/>
    <mergeCell ref="I42:J42"/>
    <mergeCell ref="K42:L42"/>
    <mergeCell ref="E43:F43"/>
    <mergeCell ref="G43:H43"/>
    <mergeCell ref="E44:F44"/>
    <mergeCell ref="G44:H44"/>
    <mergeCell ref="I44:J44"/>
    <mergeCell ref="K44:L44"/>
    <mergeCell ref="G45:H45"/>
    <mergeCell ref="I45:J45"/>
    <mergeCell ref="K45:L45"/>
    <mergeCell ref="B55:M55"/>
    <mergeCell ref="B56:L56"/>
    <mergeCell ref="B57:M57"/>
    <mergeCell ref="B59:P59"/>
    <mergeCell ref="E45:F45"/>
    <mergeCell ref="E46:F46"/>
    <mergeCell ref="G46:H46"/>
    <mergeCell ref="I46:J46"/>
    <mergeCell ref="K46:L46"/>
    <mergeCell ref="E47:F47"/>
    <mergeCell ref="G47:H47"/>
    <mergeCell ref="I34:J34"/>
    <mergeCell ref="K34:L34"/>
    <mergeCell ref="E32:F32"/>
    <mergeCell ref="E33:F33"/>
    <mergeCell ref="G33:H33"/>
    <mergeCell ref="I33:J33"/>
    <mergeCell ref="K33:L33"/>
    <mergeCell ref="E34:F34"/>
    <mergeCell ref="G34:H34"/>
    <mergeCell ref="E36:F36"/>
    <mergeCell ref="G36:H36"/>
    <mergeCell ref="I36:J36"/>
    <mergeCell ref="K36:L36"/>
    <mergeCell ref="G37:H37"/>
    <mergeCell ref="I37:J37"/>
    <mergeCell ref="K37:L37"/>
    <mergeCell ref="I39:J39"/>
    <mergeCell ref="K39:L39"/>
    <mergeCell ref="E37:F37"/>
    <mergeCell ref="E38:F38"/>
    <mergeCell ref="G38:H38"/>
    <mergeCell ref="I38:J38"/>
    <mergeCell ref="K38:L38"/>
    <mergeCell ref="E39:F39"/>
    <mergeCell ref="G39:H39"/>
    <mergeCell ref="I43:J43"/>
    <mergeCell ref="K43:L43"/>
    <mergeCell ref="I47:J47"/>
    <mergeCell ref="K47:L47"/>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6" width="8.71"/>
  </cols>
  <sheetData>
    <row r="1" ht="14.25" customHeight="1">
      <c r="B1" s="64"/>
      <c r="C1" s="64" t="s">
        <v>341</v>
      </c>
    </row>
    <row r="2" ht="14.25" customHeight="1">
      <c r="B2" s="64"/>
    </row>
    <row r="3" ht="61.5" customHeight="1">
      <c r="A3" s="218" t="s">
        <v>235</v>
      </c>
      <c r="B3" s="219" t="s">
        <v>342</v>
      </c>
    </row>
    <row r="4" ht="14.25" customHeight="1">
      <c r="A4" s="63"/>
      <c r="B4" s="64"/>
      <c r="C4" s="1" t="s">
        <v>240</v>
      </c>
    </row>
    <row r="5" ht="33.0" customHeight="1">
      <c r="A5" s="220" t="s">
        <v>241</v>
      </c>
      <c r="B5" s="64" t="s">
        <v>57</v>
      </c>
      <c r="C5" s="219" t="s">
        <v>343</v>
      </c>
    </row>
    <row r="6" ht="33.0" customHeight="1">
      <c r="A6" s="59"/>
      <c r="B6" s="64" t="s">
        <v>84</v>
      </c>
      <c r="C6" s="219" t="s">
        <v>344</v>
      </c>
    </row>
    <row r="7" ht="45.0" customHeight="1">
      <c r="A7" s="62"/>
      <c r="B7" s="1" t="s">
        <v>244</v>
      </c>
      <c r="C7" s="109" t="s">
        <v>345</v>
      </c>
    </row>
    <row r="8" ht="18.0" customHeight="1">
      <c r="A8" s="221" t="s">
        <v>246</v>
      </c>
      <c r="B8" s="64"/>
      <c r="C8" s="2" t="s">
        <v>346</v>
      </c>
    </row>
    <row r="9" ht="14.25" customHeight="1">
      <c r="A9" s="222"/>
      <c r="B9" s="6"/>
      <c r="C9" s="6"/>
      <c r="D9" s="6"/>
      <c r="G9" s="223"/>
      <c r="M9" s="64"/>
      <c r="N9" s="64"/>
      <c r="O9" s="64"/>
      <c r="P9" s="64"/>
      <c r="Q9" s="64"/>
    </row>
    <row r="10" ht="15.0" customHeight="1">
      <c r="A10" s="177" t="s">
        <v>7</v>
      </c>
      <c r="B10" s="178"/>
      <c r="C10" s="178" t="s">
        <v>43</v>
      </c>
      <c r="D10" s="178" t="s">
        <v>250</v>
      </c>
      <c r="E10" s="224"/>
      <c r="F10" s="225"/>
      <c r="G10" s="173"/>
      <c r="H10" s="107"/>
      <c r="I10" s="107"/>
      <c r="J10" s="107"/>
      <c r="K10" s="107"/>
      <c r="O10" s="107"/>
    </row>
    <row r="11" ht="14.25" customHeight="1">
      <c r="A11" s="21"/>
      <c r="B11" s="28"/>
      <c r="C11" s="28"/>
      <c r="D11" s="28"/>
      <c r="E11" s="224"/>
      <c r="F11" s="225"/>
    </row>
    <row r="12" ht="14.25" customHeight="1">
      <c r="A12" s="28"/>
      <c r="B12" s="185" t="s">
        <v>257</v>
      </c>
      <c r="C12" s="226" t="s">
        <v>25</v>
      </c>
      <c r="D12" s="226" t="s">
        <v>25</v>
      </c>
      <c r="E12" s="227"/>
      <c r="F12" s="228"/>
      <c r="H12" s="229"/>
      <c r="I12" s="230"/>
      <c r="J12" s="230"/>
      <c r="K12" s="68"/>
      <c r="L12" s="68"/>
      <c r="M12" s="230"/>
      <c r="N12" s="230"/>
      <c r="O12" s="230"/>
      <c r="P12" s="230"/>
      <c r="Q12" s="230"/>
    </row>
    <row r="13" ht="14.25" customHeight="1">
      <c r="A13" s="231" t="s">
        <v>260</v>
      </c>
      <c r="B13" s="34" t="s">
        <v>261</v>
      </c>
      <c r="C13" s="232">
        <v>0.03</v>
      </c>
      <c r="D13" s="233">
        <v>2.0</v>
      </c>
      <c r="E13" s="234"/>
      <c r="G13" s="68"/>
      <c r="H13" s="68"/>
      <c r="I13" s="68"/>
      <c r="J13" s="68"/>
      <c r="K13" s="68"/>
      <c r="L13" s="68"/>
      <c r="M13" s="68"/>
      <c r="N13" s="68"/>
      <c r="O13" s="68"/>
      <c r="P13" s="68"/>
      <c r="Q13" s="68"/>
    </row>
    <row r="14" ht="14.25" customHeight="1">
      <c r="A14" s="231" t="s">
        <v>347</v>
      </c>
      <c r="B14" s="34" t="s">
        <v>348</v>
      </c>
      <c r="C14" s="232" t="s">
        <v>349</v>
      </c>
      <c r="D14" s="210" t="s">
        <v>350</v>
      </c>
      <c r="E14" s="234"/>
      <c r="G14" s="235" t="s">
        <v>351</v>
      </c>
      <c r="H14" s="68"/>
      <c r="I14" s="68"/>
      <c r="J14" s="68"/>
      <c r="K14" s="68"/>
      <c r="L14" s="68"/>
      <c r="M14" s="68"/>
      <c r="N14" s="68"/>
      <c r="O14" s="236"/>
      <c r="P14" s="236"/>
      <c r="Q14" s="236"/>
    </row>
    <row r="15" ht="14.25" customHeight="1">
      <c r="A15" s="231" t="s">
        <v>273</v>
      </c>
      <c r="B15" s="34" t="s">
        <v>352</v>
      </c>
      <c r="C15" s="232">
        <v>45.0</v>
      </c>
      <c r="D15" s="210">
        <v>30.0</v>
      </c>
      <c r="E15" s="234"/>
      <c r="G15" s="235" t="s">
        <v>353</v>
      </c>
      <c r="H15" s="68"/>
      <c r="I15" s="68"/>
      <c r="J15" s="68"/>
      <c r="K15" s="68"/>
      <c r="L15" s="68"/>
      <c r="M15" s="68"/>
      <c r="N15" s="68"/>
      <c r="O15" s="68"/>
      <c r="P15" s="68"/>
      <c r="Q15" s="68"/>
    </row>
    <row r="16" ht="14.25" customHeight="1">
      <c r="A16" s="231" t="s">
        <v>282</v>
      </c>
      <c r="B16" s="34" t="s">
        <v>283</v>
      </c>
      <c r="C16" s="232">
        <v>200.0</v>
      </c>
      <c r="D16" s="210">
        <v>400.0</v>
      </c>
      <c r="E16" s="234"/>
      <c r="F16" s="230"/>
      <c r="G16" s="68"/>
      <c r="H16" s="68"/>
      <c r="I16" s="68"/>
      <c r="J16" s="68"/>
      <c r="K16" s="68"/>
      <c r="L16" s="68"/>
      <c r="M16" s="68"/>
      <c r="N16" s="68"/>
      <c r="O16" s="68"/>
      <c r="P16" s="68"/>
      <c r="Q16" s="68"/>
    </row>
    <row r="17" ht="14.25" customHeight="1">
      <c r="A17" s="231" t="s">
        <v>33</v>
      </c>
      <c r="B17" s="34" t="s">
        <v>354</v>
      </c>
      <c r="C17" s="237" t="s">
        <v>355</v>
      </c>
      <c r="D17" s="51"/>
      <c r="E17" s="234"/>
      <c r="G17" s="68"/>
      <c r="H17" s="68"/>
      <c r="I17" s="229"/>
      <c r="J17" s="68"/>
      <c r="K17" s="229"/>
      <c r="L17" s="229"/>
      <c r="M17" s="229"/>
      <c r="N17" s="229"/>
      <c r="O17" s="68"/>
      <c r="P17" s="68"/>
      <c r="Q17" s="68"/>
    </row>
    <row r="18" ht="14.25" customHeight="1">
      <c r="A18" s="231" t="s">
        <v>39</v>
      </c>
      <c r="B18" s="34"/>
      <c r="C18" s="238">
        <v>1.0</v>
      </c>
      <c r="D18" s="210" t="s">
        <v>25</v>
      </c>
      <c r="E18" s="239"/>
      <c r="G18" s="68"/>
      <c r="H18" s="68"/>
      <c r="I18" s="229"/>
      <c r="J18" s="68"/>
      <c r="K18" s="68"/>
      <c r="L18" s="68"/>
      <c r="M18" s="68"/>
      <c r="N18" s="68"/>
      <c r="O18" s="68"/>
      <c r="P18" s="68"/>
      <c r="Q18" s="68"/>
    </row>
    <row r="19" ht="14.25" customHeight="1">
      <c r="B19" s="64"/>
    </row>
    <row r="20" ht="14.25" customHeight="1">
      <c r="A20" s="1" t="s">
        <v>356</v>
      </c>
      <c r="B20" s="64"/>
    </row>
    <row r="21" ht="14.25" customHeight="1">
      <c r="B21" s="64"/>
    </row>
    <row r="22" ht="14.25" customHeight="1">
      <c r="A22" s="94"/>
      <c r="B22" s="240" t="s">
        <v>331</v>
      </c>
      <c r="C22" s="240" t="s">
        <v>332</v>
      </c>
      <c r="D22" s="240" t="s">
        <v>333</v>
      </c>
      <c r="E22" s="240" t="s">
        <v>75</v>
      </c>
      <c r="F22" s="240" t="s">
        <v>76</v>
      </c>
      <c r="G22" s="240" t="s">
        <v>77</v>
      </c>
      <c r="H22" s="240" t="s">
        <v>78</v>
      </c>
      <c r="I22" s="240" t="s">
        <v>79</v>
      </c>
      <c r="J22" s="240" t="s">
        <v>80</v>
      </c>
    </row>
    <row r="23" ht="14.25" customHeight="1">
      <c r="A23" s="90" t="s">
        <v>357</v>
      </c>
      <c r="B23" s="48">
        <v>64.0</v>
      </c>
      <c r="C23" s="48" t="s">
        <v>25</v>
      </c>
      <c r="D23" s="48" t="s">
        <v>25</v>
      </c>
      <c r="E23" s="48">
        <v>104.0</v>
      </c>
      <c r="F23" s="48">
        <v>1344.0</v>
      </c>
      <c r="G23" s="48" t="s">
        <v>25</v>
      </c>
      <c r="H23" s="48">
        <v>150.0</v>
      </c>
      <c r="I23" s="48">
        <v>124.0</v>
      </c>
      <c r="J23" s="48">
        <v>13.0</v>
      </c>
    </row>
    <row r="24" ht="14.25" customHeight="1">
      <c r="A24" s="90" t="s">
        <v>41</v>
      </c>
      <c r="B24" s="97" t="s">
        <v>25</v>
      </c>
      <c r="C24" s="97" t="s">
        <v>25</v>
      </c>
      <c r="D24" s="97" t="s">
        <v>25</v>
      </c>
      <c r="E24" s="97" t="s">
        <v>25</v>
      </c>
      <c r="F24" s="97" t="s">
        <v>25</v>
      </c>
      <c r="G24" s="97" t="s">
        <v>25</v>
      </c>
      <c r="H24" s="97" t="s">
        <v>25</v>
      </c>
      <c r="I24" s="97" t="s">
        <v>25</v>
      </c>
      <c r="J24" s="97" t="s">
        <v>25</v>
      </c>
    </row>
    <row r="25" ht="14.25" customHeight="1">
      <c r="B25" s="241"/>
      <c r="C25" s="241"/>
      <c r="D25" s="241"/>
      <c r="E25" s="241"/>
      <c r="F25" s="241"/>
      <c r="G25" s="241"/>
      <c r="H25" s="241"/>
      <c r="I25" s="241"/>
      <c r="J25" s="241"/>
      <c r="K25" s="241"/>
      <c r="L25" s="241"/>
      <c r="M25" s="241"/>
      <c r="N25" s="241"/>
      <c r="O25" s="241"/>
      <c r="P25" s="241"/>
      <c r="Q25" s="241"/>
    </row>
    <row r="26" ht="14.25" customHeight="1">
      <c r="A26" s="242" t="s">
        <v>358</v>
      </c>
      <c r="B26" s="243"/>
      <c r="C26" s="242"/>
    </row>
    <row r="27" ht="14.25" customHeight="1">
      <c r="A27" s="1" t="s">
        <v>359</v>
      </c>
      <c r="B27" s="64"/>
      <c r="D27" s="164" t="s">
        <v>360</v>
      </c>
    </row>
    <row r="28" ht="14.25" customHeight="1">
      <c r="B28" s="64"/>
    </row>
    <row r="29" ht="14.25" customHeight="1">
      <c r="B29" s="64"/>
    </row>
    <row r="30" ht="14.25" customHeight="1">
      <c r="B30" s="64"/>
    </row>
    <row r="31" ht="14.25" customHeight="1"/>
    <row r="32" ht="14.25" customHeight="1"/>
    <row r="33" ht="14.25" customHeight="1">
      <c r="A33" s="242" t="s">
        <v>361</v>
      </c>
      <c r="B33" s="242"/>
      <c r="C33" s="242"/>
      <c r="D33" s="242"/>
    </row>
    <row r="34" ht="14.25" customHeight="1">
      <c r="A34" s="1" t="s">
        <v>362</v>
      </c>
      <c r="B34" s="64"/>
      <c r="D34" s="164"/>
    </row>
    <row r="35" ht="14.25" customHeight="1">
      <c r="B35" s="64"/>
    </row>
    <row r="36" ht="14.25" customHeight="1">
      <c r="A36" s="1" t="s">
        <v>363</v>
      </c>
      <c r="B36" s="64"/>
      <c r="D36" s="164" t="s">
        <v>364</v>
      </c>
    </row>
    <row r="37" ht="14.25" customHeight="1">
      <c r="B37" s="64"/>
    </row>
    <row r="38" ht="14.25" customHeight="1">
      <c r="B38" s="64"/>
    </row>
    <row r="39" ht="14.25" customHeight="1">
      <c r="B39" s="64"/>
    </row>
    <row r="40" ht="14.25" customHeight="1">
      <c r="B40" s="64"/>
    </row>
    <row r="41" ht="14.25" customHeight="1">
      <c r="B41" s="64"/>
    </row>
    <row r="42" ht="14.25" customHeight="1">
      <c r="B42" s="64"/>
    </row>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8">
    <mergeCell ref="C1:H1"/>
    <mergeCell ref="B3:Q3"/>
    <mergeCell ref="A5:A7"/>
    <mergeCell ref="C5:Q5"/>
    <mergeCell ref="C6:Q6"/>
    <mergeCell ref="C7:Q7"/>
    <mergeCell ref="C8:Q8"/>
    <mergeCell ref="H10:H11"/>
    <mergeCell ref="I10:I11"/>
    <mergeCell ref="J10:J11"/>
    <mergeCell ref="K10:N11"/>
    <mergeCell ref="O10:Q11"/>
    <mergeCell ref="A9:D9"/>
    <mergeCell ref="G9:L9"/>
    <mergeCell ref="A10:A12"/>
    <mergeCell ref="B10:B11"/>
    <mergeCell ref="C10:C11"/>
    <mergeCell ref="D10:D11"/>
    <mergeCell ref="G10:G12"/>
    <mergeCell ref="D34:N35"/>
    <mergeCell ref="D36:N37"/>
    <mergeCell ref="E13:F13"/>
    <mergeCell ref="E14:F14"/>
    <mergeCell ref="E15:F15"/>
    <mergeCell ref="C17:D17"/>
    <mergeCell ref="E17:F17"/>
    <mergeCell ref="E18:F18"/>
    <mergeCell ref="D27:R30"/>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10" width="7.57"/>
    <col customWidth="1" min="11" max="11" width="5.0"/>
    <col customWidth="1" min="12" max="12" width="19.29"/>
    <col customWidth="1" min="13" max="22" width="8.57"/>
    <col customWidth="1" min="23" max="23" width="8.71"/>
    <col customWidth="1" min="24" max="24" width="15.14"/>
    <col customWidth="1" min="25" max="27" width="8.71"/>
  </cols>
  <sheetData>
    <row r="1" ht="14.25" customHeight="1">
      <c r="B1" s="2" t="s">
        <v>365</v>
      </c>
      <c r="C1" s="64"/>
      <c r="D1" s="64"/>
      <c r="E1" s="64"/>
      <c r="F1" s="64"/>
    </row>
    <row r="2" ht="14.25" customHeight="1">
      <c r="B2" s="2"/>
      <c r="C2" s="64"/>
      <c r="D2" s="64"/>
      <c r="E2" s="64"/>
      <c r="F2" s="64"/>
      <c r="L2" s="5" t="s">
        <v>366</v>
      </c>
      <c r="X2" s="222" t="s">
        <v>367</v>
      </c>
      <c r="Y2" s="6"/>
      <c r="Z2" s="6"/>
      <c r="AA2" s="6"/>
    </row>
    <row r="3" ht="15.0" customHeight="1">
      <c r="B3" s="2"/>
      <c r="C3" s="64"/>
      <c r="D3" s="64"/>
      <c r="E3" s="64"/>
      <c r="F3" s="64"/>
      <c r="L3" s="177" t="s">
        <v>7</v>
      </c>
      <c r="M3" s="178"/>
      <c r="N3" s="178" t="s">
        <v>368</v>
      </c>
      <c r="O3" s="244" t="s">
        <v>369</v>
      </c>
      <c r="P3" s="13"/>
      <c r="Q3" s="14"/>
      <c r="R3" s="244" t="s">
        <v>250</v>
      </c>
      <c r="S3" s="13"/>
      <c r="T3" s="16"/>
      <c r="X3" s="245" t="s">
        <v>7</v>
      </c>
      <c r="Y3" s="246"/>
      <c r="Z3" s="247" t="s">
        <v>43</v>
      </c>
      <c r="AA3" s="247" t="s">
        <v>250</v>
      </c>
    </row>
    <row r="4" ht="14.25" customHeight="1">
      <c r="B4" s="64"/>
      <c r="L4" s="21"/>
      <c r="M4" s="28"/>
      <c r="N4" s="28"/>
      <c r="O4" s="23"/>
      <c r="P4" s="6"/>
      <c r="Q4" s="24"/>
      <c r="R4" s="23"/>
      <c r="S4" s="6"/>
      <c r="T4" s="25"/>
      <c r="X4" s="21"/>
      <c r="Y4" s="28"/>
      <c r="Z4" s="23"/>
      <c r="AA4" s="23"/>
    </row>
    <row r="5" ht="28.5" customHeight="1">
      <c r="A5" s="248" t="s">
        <v>235</v>
      </c>
      <c r="B5" s="164" t="s">
        <v>370</v>
      </c>
      <c r="K5" s="249"/>
      <c r="L5" s="28"/>
      <c r="M5" s="185" t="s">
        <v>257</v>
      </c>
      <c r="N5" s="226" t="s">
        <v>25</v>
      </c>
      <c r="O5" s="226" t="s">
        <v>371</v>
      </c>
      <c r="P5" s="226" t="s">
        <v>372</v>
      </c>
      <c r="Q5" s="226" t="s">
        <v>373</v>
      </c>
      <c r="R5" s="226" t="s">
        <v>371</v>
      </c>
      <c r="S5" s="226" t="s">
        <v>374</v>
      </c>
      <c r="T5" s="250" t="s">
        <v>375</v>
      </c>
      <c r="X5" s="28"/>
      <c r="Y5" s="251" t="s">
        <v>257</v>
      </c>
      <c r="Z5" s="252" t="s">
        <v>25</v>
      </c>
      <c r="AA5" s="252" t="s">
        <v>25</v>
      </c>
    </row>
    <row r="6" ht="28.5" customHeight="1">
      <c r="A6" s="59"/>
      <c r="K6" s="249"/>
      <c r="L6" s="253" t="s">
        <v>260</v>
      </c>
      <c r="M6" s="34" t="s">
        <v>261</v>
      </c>
      <c r="N6" s="232">
        <v>0.06</v>
      </c>
      <c r="O6" s="232">
        <v>0.06</v>
      </c>
      <c r="P6" s="232">
        <v>0.06</v>
      </c>
      <c r="Q6" s="232">
        <v>0.06</v>
      </c>
      <c r="R6" s="254">
        <v>0.5</v>
      </c>
      <c r="S6" s="254">
        <v>0.3</v>
      </c>
      <c r="T6" s="255">
        <v>0.3</v>
      </c>
      <c r="X6" s="34" t="s">
        <v>260</v>
      </c>
      <c r="Y6" s="34" t="s">
        <v>261</v>
      </c>
      <c r="Z6" s="232" t="s">
        <v>376</v>
      </c>
      <c r="AA6" s="232" t="s">
        <v>377</v>
      </c>
    </row>
    <row r="7" ht="21.75" customHeight="1">
      <c r="A7" s="59"/>
      <c r="K7" s="249"/>
      <c r="L7" s="253" t="s">
        <v>269</v>
      </c>
      <c r="M7" s="34" t="s">
        <v>270</v>
      </c>
      <c r="N7" s="232">
        <v>0.2</v>
      </c>
      <c r="O7" s="232">
        <v>0.5</v>
      </c>
      <c r="P7" s="232">
        <v>0.5</v>
      </c>
      <c r="Q7" s="232">
        <v>0.5</v>
      </c>
      <c r="R7" s="256">
        <v>3.0</v>
      </c>
      <c r="S7" s="256">
        <v>3.0</v>
      </c>
      <c r="T7" s="257">
        <v>3.0</v>
      </c>
      <c r="X7" s="34" t="s">
        <v>269</v>
      </c>
      <c r="Y7" s="34" t="s">
        <v>270</v>
      </c>
      <c r="Z7" s="232" t="s">
        <v>378</v>
      </c>
      <c r="AA7" s="210" t="s">
        <v>25</v>
      </c>
    </row>
    <row r="8" ht="28.5" customHeight="1">
      <c r="A8" s="59"/>
      <c r="B8" s="164" t="s">
        <v>379</v>
      </c>
      <c r="K8" s="249"/>
      <c r="L8" s="253" t="s">
        <v>380</v>
      </c>
      <c r="M8" s="34" t="s">
        <v>270</v>
      </c>
      <c r="N8" s="232">
        <v>0.4</v>
      </c>
      <c r="O8" s="210" t="s">
        <v>25</v>
      </c>
      <c r="P8" s="210" t="s">
        <v>25</v>
      </c>
      <c r="Q8" s="210" t="s">
        <v>25</v>
      </c>
      <c r="R8" s="254" t="s">
        <v>25</v>
      </c>
      <c r="S8" s="254" t="s">
        <v>25</v>
      </c>
      <c r="T8" s="255" t="s">
        <v>25</v>
      </c>
      <c r="X8" s="34" t="s">
        <v>380</v>
      </c>
      <c r="Y8" s="34" t="s">
        <v>270</v>
      </c>
      <c r="Z8" s="232" t="s">
        <v>381</v>
      </c>
      <c r="AA8" s="210" t="s">
        <v>25</v>
      </c>
    </row>
    <row r="9" ht="28.5" customHeight="1">
      <c r="A9" s="59"/>
      <c r="K9" s="249"/>
      <c r="L9" s="253" t="s">
        <v>273</v>
      </c>
      <c r="M9" s="34" t="s">
        <v>382</v>
      </c>
      <c r="N9" s="232">
        <v>35.0</v>
      </c>
      <c r="O9" s="232">
        <v>45.0</v>
      </c>
      <c r="P9" s="232">
        <v>55.0</v>
      </c>
      <c r="Q9" s="232">
        <v>60.0</v>
      </c>
      <c r="R9" s="254">
        <v>40.0</v>
      </c>
      <c r="S9" s="254">
        <v>47.0</v>
      </c>
      <c r="T9" s="255">
        <v>50.0</v>
      </c>
      <c r="X9" s="34" t="s">
        <v>273</v>
      </c>
      <c r="Y9" s="34" t="s">
        <v>382</v>
      </c>
      <c r="Z9" s="232" t="s">
        <v>383</v>
      </c>
      <c r="AA9" s="232" t="s">
        <v>384</v>
      </c>
    </row>
    <row r="10" ht="28.5" customHeight="1">
      <c r="A10" s="59"/>
      <c r="K10" s="249"/>
      <c r="L10" s="253" t="s">
        <v>385</v>
      </c>
      <c r="M10" s="34" t="s">
        <v>386</v>
      </c>
      <c r="N10" s="232" t="s">
        <v>25</v>
      </c>
      <c r="O10" s="232" t="s">
        <v>25</v>
      </c>
      <c r="P10" s="232" t="s">
        <v>25</v>
      </c>
      <c r="Q10" s="232" t="s">
        <v>25</v>
      </c>
      <c r="R10" s="254">
        <v>10.0</v>
      </c>
      <c r="S10" s="254">
        <v>12.0</v>
      </c>
      <c r="T10" s="255">
        <v>14.0</v>
      </c>
      <c r="X10" s="34"/>
      <c r="Y10" s="34"/>
      <c r="Z10" s="232"/>
      <c r="AA10" s="232"/>
    </row>
    <row r="11" ht="22.5" customHeight="1">
      <c r="A11" s="59"/>
      <c r="K11" s="249"/>
      <c r="L11" s="253" t="s">
        <v>282</v>
      </c>
      <c r="M11" s="34" t="s">
        <v>283</v>
      </c>
      <c r="N11" s="232">
        <v>200.0</v>
      </c>
      <c r="O11" s="232">
        <v>300.0</v>
      </c>
      <c r="P11" s="232">
        <v>150.0</v>
      </c>
      <c r="Q11" s="232">
        <v>100.0</v>
      </c>
      <c r="R11" s="254">
        <v>450.0</v>
      </c>
      <c r="S11" s="254">
        <v>350.0</v>
      </c>
      <c r="T11" s="255">
        <v>200.0</v>
      </c>
      <c r="X11" s="34" t="s">
        <v>282</v>
      </c>
      <c r="Y11" s="34" t="s">
        <v>283</v>
      </c>
      <c r="Z11" s="232" t="s">
        <v>387</v>
      </c>
      <c r="AA11" s="232" t="s">
        <v>388</v>
      </c>
    </row>
    <row r="12" ht="28.5" customHeight="1">
      <c r="A12" s="59"/>
      <c r="K12" s="249"/>
      <c r="L12" s="253" t="s">
        <v>291</v>
      </c>
      <c r="M12" s="34" t="s">
        <v>389</v>
      </c>
      <c r="N12" s="232" t="s">
        <v>390</v>
      </c>
      <c r="O12" s="232" t="s">
        <v>390</v>
      </c>
      <c r="P12" s="232" t="s">
        <v>390</v>
      </c>
      <c r="Q12" s="232" t="s">
        <v>390</v>
      </c>
      <c r="R12" s="254">
        <v>1.5</v>
      </c>
      <c r="S12" s="254">
        <v>1.5</v>
      </c>
      <c r="T12" s="255">
        <v>1.5</v>
      </c>
      <c r="X12" s="34" t="s">
        <v>291</v>
      </c>
      <c r="Y12" s="34" t="s">
        <v>389</v>
      </c>
      <c r="Z12" s="233" t="s">
        <v>25</v>
      </c>
      <c r="AA12" s="210" t="s">
        <v>25</v>
      </c>
    </row>
    <row r="13" ht="28.5" customHeight="1">
      <c r="A13" s="59"/>
      <c r="B13" s="164" t="s">
        <v>391</v>
      </c>
      <c r="K13" s="249"/>
      <c r="L13" s="253" t="s">
        <v>33</v>
      </c>
      <c r="M13" s="34" t="s">
        <v>354</v>
      </c>
      <c r="N13" s="210" t="s">
        <v>25</v>
      </c>
      <c r="O13" s="237" t="s">
        <v>34</v>
      </c>
      <c r="P13" s="237" t="s">
        <v>34</v>
      </c>
      <c r="Q13" s="237" t="s">
        <v>34</v>
      </c>
      <c r="R13" s="254" t="s">
        <v>25</v>
      </c>
      <c r="S13" s="254" t="s">
        <v>25</v>
      </c>
      <c r="T13" s="254" t="s">
        <v>25</v>
      </c>
      <c r="X13" s="34" t="s">
        <v>33</v>
      </c>
      <c r="Y13" s="34" t="s">
        <v>354</v>
      </c>
      <c r="Z13" s="237" t="s">
        <v>25</v>
      </c>
      <c r="AA13" s="210" t="s">
        <v>25</v>
      </c>
    </row>
    <row r="14" ht="28.5" customHeight="1">
      <c r="A14" s="59"/>
      <c r="K14" s="249"/>
      <c r="L14" s="253" t="s">
        <v>39</v>
      </c>
      <c r="M14" s="34" t="s">
        <v>307</v>
      </c>
      <c r="N14" s="232">
        <v>0.96</v>
      </c>
      <c r="O14" s="210" t="s">
        <v>25</v>
      </c>
      <c r="P14" s="210" t="s">
        <v>25</v>
      </c>
      <c r="Q14" s="210" t="s">
        <v>25</v>
      </c>
      <c r="R14" s="254" t="s">
        <v>25</v>
      </c>
      <c r="S14" s="258" t="s">
        <v>25</v>
      </c>
      <c r="T14" s="259" t="s">
        <v>25</v>
      </c>
      <c r="X14" s="34" t="s">
        <v>39</v>
      </c>
      <c r="Y14" s="34"/>
      <c r="Z14" s="237" t="s">
        <v>25</v>
      </c>
      <c r="AA14" s="210" t="s">
        <v>25</v>
      </c>
    </row>
    <row r="15" ht="28.5" customHeight="1">
      <c r="A15" s="59"/>
      <c r="K15" s="249"/>
      <c r="L15" s="253" t="s">
        <v>392</v>
      </c>
      <c r="M15" s="34" t="s">
        <v>393</v>
      </c>
      <c r="N15" s="232">
        <v>50.0</v>
      </c>
      <c r="O15" s="232">
        <v>50.0</v>
      </c>
      <c r="P15" s="232">
        <v>50.0</v>
      </c>
      <c r="Q15" s="232">
        <v>50.0</v>
      </c>
      <c r="R15" s="195" t="s">
        <v>394</v>
      </c>
      <c r="S15" s="50"/>
      <c r="T15" s="51"/>
      <c r="X15" s="34" t="s">
        <v>395</v>
      </c>
      <c r="Y15" s="34" t="s">
        <v>393</v>
      </c>
      <c r="Z15" s="232" t="s">
        <v>396</v>
      </c>
      <c r="AA15" s="210" t="s">
        <v>25</v>
      </c>
    </row>
    <row r="16" ht="28.5" customHeight="1">
      <c r="A16" s="59"/>
      <c r="K16" s="249"/>
      <c r="L16" s="253" t="s">
        <v>35</v>
      </c>
      <c r="M16" s="34" t="s">
        <v>397</v>
      </c>
      <c r="N16" s="232" t="s">
        <v>398</v>
      </c>
      <c r="O16" s="232" t="s">
        <v>398</v>
      </c>
      <c r="P16" s="232" t="s">
        <v>398</v>
      </c>
      <c r="Q16" s="232" t="s">
        <v>398</v>
      </c>
      <c r="R16" s="232" t="s">
        <v>398</v>
      </c>
      <c r="S16" s="232" t="s">
        <v>398</v>
      </c>
      <c r="T16" s="232" t="s">
        <v>398</v>
      </c>
      <c r="X16" s="34"/>
      <c r="Y16" s="34"/>
      <c r="Z16" s="232"/>
      <c r="AA16" s="210"/>
    </row>
    <row r="17" ht="21.75" customHeight="1">
      <c r="A17" s="62"/>
      <c r="L17" s="253" t="s">
        <v>244</v>
      </c>
      <c r="M17" s="34" t="s">
        <v>399</v>
      </c>
      <c r="N17" s="34" t="s">
        <v>25</v>
      </c>
      <c r="O17" s="260" t="s">
        <v>400</v>
      </c>
      <c r="P17" s="34"/>
      <c r="Q17" s="34"/>
      <c r="R17" s="34"/>
      <c r="S17" s="34"/>
      <c r="T17" s="34"/>
      <c r="X17" s="34" t="s">
        <v>401</v>
      </c>
      <c r="Y17" s="34" t="s">
        <v>393</v>
      </c>
      <c r="Z17" s="232" t="s">
        <v>402</v>
      </c>
      <c r="AA17" s="210" t="s">
        <v>25</v>
      </c>
    </row>
    <row r="18" ht="28.5" customHeight="1">
      <c r="A18" s="63"/>
      <c r="B18" s="64"/>
      <c r="L18" s="63"/>
      <c r="M18" s="68"/>
      <c r="N18" s="235"/>
      <c r="O18" s="68"/>
      <c r="P18" s="68"/>
      <c r="Q18" s="68"/>
      <c r="R18" s="68"/>
      <c r="S18" s="68"/>
      <c r="T18" s="68"/>
      <c r="U18" s="68"/>
      <c r="V18" s="68"/>
      <c r="X18" s="68"/>
      <c r="Y18" s="68"/>
      <c r="Z18" s="261"/>
      <c r="AA18" s="68"/>
    </row>
    <row r="19" ht="14.25" customHeight="1">
      <c r="A19" s="220" t="s">
        <v>241</v>
      </c>
      <c r="B19" s="164" t="s">
        <v>343</v>
      </c>
      <c r="K19" s="249"/>
      <c r="L19" s="249"/>
      <c r="M19" s="249"/>
      <c r="N19" s="249"/>
      <c r="O19" s="249"/>
      <c r="P19" s="249"/>
    </row>
    <row r="20" ht="14.25" customHeight="1">
      <c r="A20" s="59"/>
      <c r="K20" s="249"/>
      <c r="L20" s="1" t="s">
        <v>356</v>
      </c>
      <c r="M20" s="64"/>
    </row>
    <row r="21" ht="14.25" customHeight="1">
      <c r="A21" s="59"/>
      <c r="K21" s="249"/>
      <c r="M21" s="64"/>
    </row>
    <row r="22" ht="14.25" customHeight="1">
      <c r="A22" s="59"/>
      <c r="B22" s="164" t="s">
        <v>344</v>
      </c>
      <c r="K22" s="249"/>
      <c r="L22" s="94"/>
      <c r="M22" s="240" t="s">
        <v>331</v>
      </c>
      <c r="N22" s="240" t="s">
        <v>332</v>
      </c>
      <c r="O22" s="240" t="s">
        <v>333</v>
      </c>
      <c r="P22" s="240" t="s">
        <v>75</v>
      </c>
      <c r="Q22" s="240" t="s">
        <v>76</v>
      </c>
      <c r="R22" s="240" t="s">
        <v>77</v>
      </c>
      <c r="S22" s="240" t="s">
        <v>78</v>
      </c>
      <c r="T22" s="240" t="s">
        <v>79</v>
      </c>
      <c r="U22" s="240" t="s">
        <v>80</v>
      </c>
    </row>
    <row r="23" ht="30.75" customHeight="1">
      <c r="A23" s="59"/>
      <c r="K23" s="249"/>
      <c r="L23" s="90" t="s">
        <v>403</v>
      </c>
      <c r="M23" s="48">
        <v>112.0</v>
      </c>
      <c r="N23" s="48" t="s">
        <v>25</v>
      </c>
      <c r="O23" s="48" t="s">
        <v>25</v>
      </c>
      <c r="P23" s="48">
        <v>20.0</v>
      </c>
      <c r="Q23" s="48">
        <v>161.0</v>
      </c>
      <c r="R23" s="48" t="s">
        <v>25</v>
      </c>
      <c r="S23" s="48">
        <v>18.0</v>
      </c>
      <c r="T23" s="48">
        <v>232.0</v>
      </c>
      <c r="U23" s="48">
        <v>1.0</v>
      </c>
    </row>
    <row r="24" ht="14.25" customHeight="1">
      <c r="A24" s="59"/>
      <c r="K24" s="249"/>
      <c r="L24" s="90" t="s">
        <v>404</v>
      </c>
      <c r="M24" s="48">
        <v>35.0</v>
      </c>
      <c r="N24" s="48" t="s">
        <v>25</v>
      </c>
      <c r="O24" s="48" t="s">
        <v>25</v>
      </c>
      <c r="P24" s="48">
        <v>25.0</v>
      </c>
      <c r="Q24" s="48">
        <v>497.0</v>
      </c>
      <c r="R24" s="48" t="s">
        <v>25</v>
      </c>
      <c r="S24" s="48">
        <v>16.0</v>
      </c>
      <c r="T24" s="48">
        <v>58.0</v>
      </c>
      <c r="U24" s="48">
        <v>0.0</v>
      </c>
    </row>
    <row r="25" ht="15.75" customHeight="1">
      <c r="A25" s="59"/>
      <c r="B25" s="262" t="s">
        <v>345</v>
      </c>
      <c r="K25" s="263"/>
      <c r="L25" s="90" t="s">
        <v>41</v>
      </c>
      <c r="M25" s="97" t="s">
        <v>25</v>
      </c>
      <c r="N25" s="48" t="s">
        <v>25</v>
      </c>
      <c r="O25" s="97" t="s">
        <v>25</v>
      </c>
      <c r="P25" s="97" t="s">
        <v>25</v>
      </c>
      <c r="Q25" s="97" t="s">
        <v>25</v>
      </c>
      <c r="R25" s="97" t="s">
        <v>25</v>
      </c>
      <c r="S25" s="97" t="s">
        <v>25</v>
      </c>
      <c r="T25" s="97" t="s">
        <v>25</v>
      </c>
      <c r="U25" s="97" t="s">
        <v>25</v>
      </c>
    </row>
    <row r="26" ht="14.25" customHeight="1">
      <c r="A26" s="59"/>
      <c r="K26" s="263"/>
      <c r="L26" s="263"/>
      <c r="M26" s="263"/>
      <c r="N26" s="263"/>
      <c r="O26" s="263"/>
      <c r="P26" s="263"/>
    </row>
    <row r="27" ht="14.25" customHeight="1">
      <c r="A27" s="59"/>
      <c r="K27" s="263"/>
      <c r="L27" s="263"/>
      <c r="M27" s="263"/>
      <c r="N27" s="263"/>
      <c r="O27" s="263"/>
      <c r="P27" s="263"/>
    </row>
    <row r="28" ht="14.25" customHeight="1">
      <c r="A28" s="59"/>
      <c r="K28" s="263"/>
      <c r="L28" s="263"/>
      <c r="M28" s="263"/>
      <c r="N28" s="263"/>
      <c r="O28" s="263"/>
      <c r="P28" s="263"/>
    </row>
    <row r="29" ht="14.25" customHeight="1">
      <c r="A29" s="62"/>
      <c r="K29" s="263"/>
      <c r="L29" s="263"/>
      <c r="M29" s="263"/>
      <c r="N29" s="263"/>
      <c r="O29" s="263"/>
      <c r="P29" s="263"/>
    </row>
    <row r="30" ht="14.25" customHeight="1">
      <c r="A30" s="173"/>
      <c r="B30" s="262"/>
      <c r="C30" s="262"/>
      <c r="D30" s="262"/>
      <c r="E30" s="262"/>
      <c r="F30" s="262"/>
      <c r="G30" s="262"/>
      <c r="H30" s="262"/>
      <c r="I30" s="262"/>
      <c r="J30" s="262"/>
      <c r="K30" s="263"/>
      <c r="L30" s="263"/>
      <c r="M30" s="263"/>
      <c r="N30" s="263"/>
      <c r="O30" s="263"/>
      <c r="P30" s="263"/>
    </row>
    <row r="31" ht="14.25" customHeight="1">
      <c r="A31" s="221" t="s">
        <v>246</v>
      </c>
      <c r="B31" s="2" t="s">
        <v>346</v>
      </c>
      <c r="C31" s="2"/>
      <c r="D31" s="2"/>
      <c r="E31" s="2"/>
      <c r="F31" s="2"/>
      <c r="G31" s="2"/>
      <c r="H31" s="2"/>
      <c r="I31" s="2"/>
      <c r="J31" s="2"/>
      <c r="K31" s="2"/>
      <c r="L31" s="2"/>
      <c r="M31" s="2"/>
      <c r="N31" s="2"/>
      <c r="O31" s="2"/>
    </row>
    <row r="32" ht="14.25" customHeight="1">
      <c r="B32" s="2" t="s">
        <v>405</v>
      </c>
      <c r="C32" s="2"/>
      <c r="D32" s="2"/>
      <c r="E32" s="2"/>
      <c r="F32" s="2"/>
      <c r="G32" s="2"/>
      <c r="H32" s="2"/>
      <c r="I32" s="2"/>
      <c r="J32" s="2"/>
      <c r="K32" s="2"/>
      <c r="L32" s="2"/>
      <c r="M32" s="2"/>
      <c r="N32" s="2"/>
      <c r="O32" s="2"/>
      <c r="P32" s="2"/>
      <c r="Q32" s="2"/>
      <c r="R32" s="2"/>
      <c r="S32" s="2"/>
    </row>
    <row r="33" ht="14.25" customHeight="1">
      <c r="C33" s="5"/>
      <c r="D33" s="5"/>
      <c r="E33" s="5"/>
      <c r="F33" s="5"/>
      <c r="G33" s="5"/>
      <c r="H33" s="64"/>
      <c r="I33" s="64"/>
      <c r="J33" s="64"/>
      <c r="K33" s="64"/>
      <c r="L33" s="64"/>
      <c r="Q33" s="64"/>
      <c r="R33" s="64"/>
    </row>
    <row r="34" ht="15.0" customHeight="1">
      <c r="Q34" s="173"/>
      <c r="R34" s="173"/>
    </row>
    <row r="35" ht="14.25" customHeight="1"/>
    <row r="36" ht="14.25" customHeight="1"/>
    <row r="37" ht="14.25" customHeight="1">
      <c r="Q37" s="68"/>
      <c r="R37" s="68"/>
    </row>
    <row r="38" ht="14.25" customHeight="1">
      <c r="Q38" s="264"/>
      <c r="R38" s="236"/>
    </row>
    <row r="39" ht="14.25" customHeight="1">
      <c r="Q39" s="264"/>
      <c r="R39" s="236"/>
    </row>
    <row r="40" ht="14.25" customHeight="1">
      <c r="Q40" s="229"/>
      <c r="R40" s="229"/>
    </row>
    <row r="41" ht="14.25" customHeight="1">
      <c r="Q41" s="229"/>
      <c r="R41" s="229"/>
    </row>
    <row r="42" ht="14.25" customHeight="1">
      <c r="Q42" s="229"/>
      <c r="R42" s="265"/>
    </row>
    <row r="43" ht="14.25" customHeight="1">
      <c r="Q43" s="229"/>
      <c r="R43" s="68"/>
    </row>
    <row r="44" ht="14.25" customHeight="1">
      <c r="Q44" s="68"/>
      <c r="R44" s="68"/>
    </row>
    <row r="45" ht="14.25" customHeight="1">
      <c r="Q45" s="68"/>
      <c r="R45" s="68"/>
    </row>
    <row r="46" ht="14.25" customHeight="1">
      <c r="Q46" s="68"/>
      <c r="R46" s="68"/>
    </row>
    <row r="47" ht="14.25" customHeight="1">
      <c r="T47" s="64"/>
    </row>
    <row r="48" ht="14.25" customHeight="1"/>
    <row r="49" ht="14.25" customHeight="1"/>
    <row r="50" ht="14.25" customHeight="1"/>
    <row r="51" ht="14.25" customHeight="1"/>
    <row r="52" ht="14.25" customHeight="1"/>
    <row r="53" ht="14.25" customHeight="1"/>
    <row r="54" ht="14.25" customHeight="1">
      <c r="B54" s="216"/>
    </row>
    <row r="55" ht="14.25" customHeight="1">
      <c r="B55" s="216"/>
    </row>
    <row r="56" ht="14.25" customHeight="1">
      <c r="B56" s="217"/>
    </row>
    <row r="57" ht="14.25" customHeight="1">
      <c r="B57" s="2"/>
    </row>
    <row r="58" ht="14.25" customHeight="1">
      <c r="B58" s="241"/>
      <c r="C58" s="241"/>
      <c r="D58" s="241"/>
      <c r="E58" s="241"/>
      <c r="F58" s="241"/>
      <c r="G58" s="241"/>
      <c r="H58" s="241"/>
      <c r="I58" s="241"/>
      <c r="J58" s="241"/>
      <c r="K58" s="241"/>
      <c r="L58" s="241"/>
      <c r="M58" s="241"/>
      <c r="N58" s="241"/>
      <c r="O58" s="241"/>
      <c r="P58" s="241"/>
      <c r="Q58" s="241"/>
      <c r="R58" s="241"/>
      <c r="S58" s="241"/>
    </row>
    <row r="59" ht="14.25" customHeight="1">
      <c r="B59" s="64"/>
    </row>
    <row r="60" ht="14.25" customHeight="1">
      <c r="B60" s="64"/>
    </row>
    <row r="61" ht="14.25" customHeight="1">
      <c r="B61" s="64"/>
    </row>
    <row r="62" ht="14.25" customHeight="1">
      <c r="B62" s="64"/>
    </row>
    <row r="63" ht="14.25" customHeight="1">
      <c r="B63" s="64"/>
    </row>
    <row r="64" ht="14.25" customHeight="1">
      <c r="B64" s="64"/>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4">
    <mergeCell ref="Y3:Y4"/>
    <mergeCell ref="Z3:Z4"/>
    <mergeCell ref="R15:T15"/>
    <mergeCell ref="X2:AA2"/>
    <mergeCell ref="M3:M4"/>
    <mergeCell ref="N3:N4"/>
    <mergeCell ref="O3:Q4"/>
    <mergeCell ref="R3:T4"/>
    <mergeCell ref="X3:X5"/>
    <mergeCell ref="AA3:AA4"/>
    <mergeCell ref="B22:J24"/>
    <mergeCell ref="B25:J29"/>
    <mergeCell ref="Q34:Q36"/>
    <mergeCell ref="R34:R36"/>
    <mergeCell ref="B54:P54"/>
    <mergeCell ref="B55:O55"/>
    <mergeCell ref="B56:P56"/>
    <mergeCell ref="L3:L5"/>
    <mergeCell ref="A5:A17"/>
    <mergeCell ref="B5:J7"/>
    <mergeCell ref="B8:J12"/>
    <mergeCell ref="B13:J17"/>
    <mergeCell ref="A19:A29"/>
    <mergeCell ref="B19:J21"/>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71"/>
    <col customWidth="1" min="3" max="3" width="19.14"/>
    <col customWidth="1" min="4" max="4" width="25.14"/>
    <col customWidth="1" min="5" max="5" width="14.29"/>
    <col customWidth="1" min="6" max="6" width="15.14"/>
    <col customWidth="1" min="7" max="7" width="11.43"/>
    <col customWidth="1" min="8" max="8" width="14.0"/>
    <col customWidth="1" min="9" max="9" width="15.86"/>
    <col customWidth="1" min="10" max="14" width="8.71"/>
    <col customWidth="1" min="15" max="15" width="41.29"/>
    <col customWidth="1" min="16" max="26" width="8.71"/>
  </cols>
  <sheetData>
    <row r="1" ht="14.25" customHeight="1"/>
    <row r="2" ht="14.25" customHeight="1">
      <c r="E2" s="266" t="s">
        <v>406</v>
      </c>
      <c r="F2" s="50"/>
      <c r="G2" s="50"/>
      <c r="H2" s="50"/>
      <c r="I2" s="51"/>
    </row>
    <row r="3" ht="14.25" customHeight="1">
      <c r="B3" s="178" t="s">
        <v>407</v>
      </c>
      <c r="C3" s="244" t="s">
        <v>408</v>
      </c>
      <c r="D3" s="16"/>
      <c r="E3" s="267" t="s">
        <v>409</v>
      </c>
      <c r="F3" s="13"/>
      <c r="G3" s="16"/>
      <c r="H3" s="268" t="s">
        <v>44</v>
      </c>
      <c r="I3" s="16"/>
    </row>
    <row r="4" ht="15.0" customHeight="1">
      <c r="B4" s="21"/>
      <c r="C4" s="23"/>
      <c r="D4" s="25"/>
      <c r="E4" s="23"/>
      <c r="F4" s="6"/>
      <c r="G4" s="25"/>
      <c r="H4" s="23"/>
      <c r="I4" s="25"/>
    </row>
    <row r="5" ht="14.25" customHeight="1">
      <c r="B5" s="28"/>
      <c r="C5" s="250" t="s">
        <v>410</v>
      </c>
      <c r="D5" s="250" t="s">
        <v>411</v>
      </c>
      <c r="E5" s="269" t="s">
        <v>412</v>
      </c>
      <c r="F5" s="269" t="s">
        <v>413</v>
      </c>
      <c r="G5" s="269" t="s">
        <v>414</v>
      </c>
      <c r="H5" s="269" t="s">
        <v>415</v>
      </c>
      <c r="I5" s="269" t="s">
        <v>416</v>
      </c>
    </row>
    <row r="6" ht="14.25" customHeight="1">
      <c r="B6" s="231" t="s">
        <v>260</v>
      </c>
      <c r="C6" s="38" t="s">
        <v>417</v>
      </c>
      <c r="D6" s="34" t="s">
        <v>418</v>
      </c>
      <c r="E6" s="34" t="s">
        <v>419</v>
      </c>
      <c r="F6" s="34" t="s">
        <v>420</v>
      </c>
      <c r="G6" s="34" t="s">
        <v>421</v>
      </c>
      <c r="H6" s="97" t="s">
        <v>25</v>
      </c>
      <c r="I6" s="97" t="s">
        <v>422</v>
      </c>
    </row>
    <row r="7" ht="14.25" customHeight="1">
      <c r="B7" s="270" t="s">
        <v>423</v>
      </c>
      <c r="C7" s="39" t="s">
        <v>424</v>
      </c>
      <c r="D7" s="271">
        <v>0.005</v>
      </c>
      <c r="E7" s="271" t="s">
        <v>425</v>
      </c>
      <c r="F7" s="271" t="s">
        <v>425</v>
      </c>
      <c r="G7" s="271" t="s">
        <v>426</v>
      </c>
      <c r="H7" s="97" t="s">
        <v>25</v>
      </c>
      <c r="I7" s="97" t="s">
        <v>427</v>
      </c>
    </row>
    <row r="8" ht="14.25" customHeight="1">
      <c r="B8" s="231" t="s">
        <v>273</v>
      </c>
      <c r="C8" s="36" t="s">
        <v>352</v>
      </c>
      <c r="D8" s="34" t="s">
        <v>428</v>
      </c>
      <c r="E8" s="34" t="s">
        <v>429</v>
      </c>
      <c r="F8" s="34" t="s">
        <v>430</v>
      </c>
      <c r="G8" s="34" t="s">
        <v>430</v>
      </c>
      <c r="H8" s="97" t="s">
        <v>431</v>
      </c>
      <c r="I8" s="97" t="s">
        <v>432</v>
      </c>
    </row>
    <row r="9" ht="14.25" customHeight="1">
      <c r="B9" s="177" t="s">
        <v>385</v>
      </c>
      <c r="C9" s="272" t="s">
        <v>433</v>
      </c>
      <c r="D9" s="245" t="s">
        <v>25</v>
      </c>
      <c r="E9" s="245" t="s">
        <v>434</v>
      </c>
      <c r="F9" s="245" t="s">
        <v>435</v>
      </c>
      <c r="G9" s="245" t="s">
        <v>436</v>
      </c>
      <c r="H9" s="97" t="s">
        <v>25</v>
      </c>
      <c r="I9" s="97" t="s">
        <v>437</v>
      </c>
      <c r="J9" s="1" t="s">
        <v>438</v>
      </c>
    </row>
    <row r="10" ht="14.25" customHeight="1">
      <c r="B10" s="28"/>
      <c r="C10" s="28"/>
      <c r="D10" s="28"/>
      <c r="E10" s="28"/>
      <c r="F10" s="28"/>
      <c r="G10" s="28"/>
      <c r="H10" s="97" t="s">
        <v>25</v>
      </c>
      <c r="I10" s="97" t="s">
        <v>439</v>
      </c>
      <c r="J10" s="1" t="s">
        <v>440</v>
      </c>
    </row>
    <row r="11" ht="14.25" customHeight="1">
      <c r="B11" s="231" t="s">
        <v>441</v>
      </c>
      <c r="C11" s="36" t="s">
        <v>442</v>
      </c>
      <c r="D11" s="34" t="s">
        <v>443</v>
      </c>
      <c r="E11" s="34">
        <v>20.0</v>
      </c>
      <c r="F11" s="34" t="s">
        <v>444</v>
      </c>
      <c r="G11" s="34" t="s">
        <v>445</v>
      </c>
      <c r="H11" s="97" t="s">
        <v>25</v>
      </c>
      <c r="I11" s="97" t="s">
        <v>431</v>
      </c>
    </row>
    <row r="12" ht="27.0" customHeight="1">
      <c r="B12" s="231" t="s">
        <v>33</v>
      </c>
      <c r="C12" s="64" t="s">
        <v>446</v>
      </c>
      <c r="D12" s="210" t="s">
        <v>447</v>
      </c>
      <c r="E12" s="50"/>
      <c r="F12" s="50"/>
      <c r="G12" s="51"/>
      <c r="H12" s="129" t="s">
        <v>448</v>
      </c>
      <c r="I12" s="51"/>
    </row>
    <row r="13" ht="14.25" customHeight="1">
      <c r="B13" s="231" t="s">
        <v>35</v>
      </c>
      <c r="C13" s="273" t="s">
        <v>449</v>
      </c>
      <c r="D13" s="274" t="s">
        <v>450</v>
      </c>
      <c r="E13" s="50"/>
      <c r="F13" s="50"/>
      <c r="G13" s="51"/>
      <c r="H13" s="95" t="s">
        <v>451</v>
      </c>
      <c r="I13" s="51"/>
    </row>
    <row r="14" ht="14.25" customHeight="1">
      <c r="B14" s="275" t="s">
        <v>162</v>
      </c>
      <c r="C14" s="45" t="s">
        <v>452</v>
      </c>
      <c r="D14" s="44" t="s">
        <v>453</v>
      </c>
      <c r="E14" s="210" t="s">
        <v>454</v>
      </c>
      <c r="F14" s="50"/>
      <c r="G14" s="51"/>
      <c r="H14" s="95" t="s">
        <v>454</v>
      </c>
      <c r="I14" s="51"/>
    </row>
    <row r="15" ht="14.25" customHeight="1">
      <c r="B15" s="275" t="s">
        <v>455</v>
      </c>
      <c r="C15" s="44" t="s">
        <v>456</v>
      </c>
      <c r="D15" s="44" t="s">
        <v>457</v>
      </c>
      <c r="E15" s="210" t="s">
        <v>25</v>
      </c>
      <c r="F15" s="50"/>
      <c r="G15" s="51"/>
      <c r="H15" s="95" t="s">
        <v>25</v>
      </c>
      <c r="I15" s="51"/>
    </row>
    <row r="16" ht="29.25" customHeight="1">
      <c r="B16" s="185" t="s">
        <v>458</v>
      </c>
      <c r="C16" s="34" t="s">
        <v>459</v>
      </c>
      <c r="D16" s="34" t="s">
        <v>460</v>
      </c>
      <c r="E16" s="210" t="s">
        <v>25</v>
      </c>
      <c r="F16" s="50"/>
      <c r="G16" s="51"/>
      <c r="H16" s="95" t="s">
        <v>25</v>
      </c>
      <c r="I16" s="51"/>
    </row>
    <row r="17" ht="14.25" customHeight="1">
      <c r="B17" s="185" t="s">
        <v>461</v>
      </c>
      <c r="C17" s="34" t="s">
        <v>462</v>
      </c>
      <c r="D17" s="34" t="s">
        <v>463</v>
      </c>
      <c r="E17" s="210" t="s">
        <v>464</v>
      </c>
      <c r="F17" s="50"/>
      <c r="G17" s="51"/>
      <c r="H17" s="95" t="s">
        <v>464</v>
      </c>
      <c r="I17" s="51"/>
    </row>
    <row r="18" ht="14.25" customHeight="1">
      <c r="B18" s="276" t="s">
        <v>465</v>
      </c>
      <c r="C18" s="94" t="s">
        <v>446</v>
      </c>
      <c r="D18" s="97" t="s">
        <v>25</v>
      </c>
      <c r="E18" s="97" t="s">
        <v>466</v>
      </c>
      <c r="F18" s="97" t="s">
        <v>467</v>
      </c>
      <c r="G18" s="97" t="s">
        <v>468</v>
      </c>
      <c r="H18" s="95" t="s">
        <v>25</v>
      </c>
      <c r="I18" s="51"/>
    </row>
    <row r="19" ht="14.25" customHeight="1">
      <c r="B19" s="276" t="s">
        <v>469</v>
      </c>
      <c r="C19" s="94" t="s">
        <v>424</v>
      </c>
      <c r="D19" s="97" t="s">
        <v>25</v>
      </c>
      <c r="E19" s="97" t="s">
        <v>470</v>
      </c>
      <c r="F19" s="97" t="s">
        <v>471</v>
      </c>
      <c r="G19" s="97" t="s">
        <v>472</v>
      </c>
      <c r="H19" s="97" t="s">
        <v>25</v>
      </c>
      <c r="I19" s="97" t="s">
        <v>473</v>
      </c>
    </row>
    <row r="20" ht="14.25" customHeight="1">
      <c r="B20" s="277" t="s">
        <v>474</v>
      </c>
      <c r="C20" s="278" t="s">
        <v>475</v>
      </c>
      <c r="D20" s="97" t="s">
        <v>25</v>
      </c>
      <c r="E20" s="97"/>
      <c r="F20" s="95" t="s">
        <v>476</v>
      </c>
      <c r="G20" s="50"/>
      <c r="H20" s="50"/>
      <c r="I20" s="51"/>
    </row>
    <row r="21" ht="14.25" customHeight="1">
      <c r="B21" s="276" t="s">
        <v>477</v>
      </c>
      <c r="C21" s="94"/>
      <c r="D21" s="94"/>
      <c r="E21" s="94"/>
      <c r="F21" s="94"/>
      <c r="G21" s="94"/>
      <c r="H21" s="95" t="s">
        <v>478</v>
      </c>
      <c r="I21" s="51"/>
    </row>
    <row r="22" ht="14.25" customHeight="1"/>
    <row r="23" ht="14.25" customHeight="1">
      <c r="B23" s="1" t="s">
        <v>479</v>
      </c>
    </row>
    <row r="24" ht="14.25" customHeight="1"/>
    <row r="25" ht="113.25" customHeight="1">
      <c r="B25" s="164" t="s">
        <v>480</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7">
    <mergeCell ref="D9:D10"/>
    <mergeCell ref="E9:E10"/>
    <mergeCell ref="E2:I2"/>
    <mergeCell ref="B3:B5"/>
    <mergeCell ref="C3:D4"/>
    <mergeCell ref="E3:G4"/>
    <mergeCell ref="H3:I4"/>
    <mergeCell ref="B9:B10"/>
    <mergeCell ref="C9:C10"/>
    <mergeCell ref="F9:F10"/>
    <mergeCell ref="G9:G10"/>
    <mergeCell ref="D12:G12"/>
    <mergeCell ref="H12:I12"/>
    <mergeCell ref="D13:G13"/>
    <mergeCell ref="H13:I13"/>
    <mergeCell ref="H14:I14"/>
    <mergeCell ref="H18:I18"/>
    <mergeCell ref="F20:I20"/>
    <mergeCell ref="H21:I21"/>
    <mergeCell ref="B25:O25"/>
    <mergeCell ref="E14:G14"/>
    <mergeCell ref="E15:G15"/>
    <mergeCell ref="H15:I15"/>
    <mergeCell ref="E16:G16"/>
    <mergeCell ref="H16:I16"/>
    <mergeCell ref="E17:G17"/>
    <mergeCell ref="H17:I17"/>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5.43"/>
    <col customWidth="1" min="3" max="3" width="22.71"/>
    <col customWidth="1" min="4" max="6" width="18.14"/>
    <col customWidth="1" min="7" max="7" width="19.14"/>
    <col customWidth="1" min="8" max="10" width="14.29"/>
    <col customWidth="1" min="11" max="11" width="67.86"/>
    <col customWidth="1" min="12" max="26" width="8.71"/>
  </cols>
  <sheetData>
    <row r="1" ht="14.25" customHeight="1">
      <c r="B1" s="214" t="s">
        <v>481</v>
      </c>
      <c r="D1" s="64"/>
      <c r="E1" s="64"/>
      <c r="F1" s="64"/>
    </row>
    <row r="2" ht="14.25" customHeight="1">
      <c r="B2" s="1" t="s">
        <v>482</v>
      </c>
      <c r="D2" s="64"/>
      <c r="E2" s="64"/>
      <c r="F2" s="64"/>
    </row>
    <row r="3" ht="14.25" customHeight="1">
      <c r="B3" s="1" t="s">
        <v>483</v>
      </c>
      <c r="D3" s="64"/>
      <c r="E3" s="64"/>
      <c r="F3" s="64"/>
    </row>
    <row r="4" ht="14.25" customHeight="1">
      <c r="B4" s="1" t="s">
        <v>484</v>
      </c>
      <c r="D4" s="64"/>
      <c r="E4" s="64"/>
      <c r="F4" s="64"/>
    </row>
    <row r="5" ht="14.25" customHeight="1">
      <c r="B5" s="214" t="s">
        <v>485</v>
      </c>
      <c r="D5" s="64"/>
      <c r="E5" s="64"/>
      <c r="F5" s="64"/>
    </row>
    <row r="6" ht="14.25" customHeight="1">
      <c r="B6" s="214" t="s">
        <v>486</v>
      </c>
      <c r="D6" s="64"/>
      <c r="E6" s="64"/>
      <c r="F6" s="64"/>
    </row>
    <row r="7" ht="14.25" customHeight="1">
      <c r="B7" s="214" t="s">
        <v>487</v>
      </c>
      <c r="D7" s="64"/>
      <c r="E7" s="64"/>
      <c r="F7" s="64"/>
    </row>
    <row r="8" ht="14.25" customHeight="1">
      <c r="B8" s="1" t="s">
        <v>488</v>
      </c>
      <c r="D8" s="64"/>
      <c r="E8" s="64"/>
      <c r="F8" s="64"/>
    </row>
    <row r="9" ht="14.25" customHeight="1">
      <c r="B9" s="1" t="s">
        <v>489</v>
      </c>
      <c r="D9" s="64"/>
      <c r="E9" s="64"/>
      <c r="F9" s="64"/>
    </row>
    <row r="10" ht="14.25" customHeight="1">
      <c r="B10" s="1" t="s">
        <v>490</v>
      </c>
      <c r="D10" s="64"/>
      <c r="E10" s="64"/>
      <c r="F10" s="64"/>
    </row>
    <row r="11" ht="14.25" customHeight="1">
      <c r="B11" s="214" t="s">
        <v>491</v>
      </c>
      <c r="D11" s="64"/>
      <c r="E11" s="64"/>
      <c r="F11" s="64"/>
    </row>
    <row r="12" ht="14.25" customHeight="1">
      <c r="B12" s="1" t="s">
        <v>492</v>
      </c>
      <c r="D12" s="64"/>
      <c r="E12" s="64"/>
      <c r="F12" s="64"/>
    </row>
    <row r="13" ht="14.25" customHeight="1">
      <c r="B13" s="1" t="s">
        <v>493</v>
      </c>
      <c r="D13" s="64"/>
      <c r="E13" s="64"/>
      <c r="F13" s="64"/>
    </row>
    <row r="14" ht="14.25" customHeight="1">
      <c r="B14" s="1" t="s">
        <v>494</v>
      </c>
      <c r="D14" s="64"/>
      <c r="E14" s="64"/>
      <c r="F14" s="64"/>
    </row>
    <row r="15" ht="14.25" customHeight="1">
      <c r="B15" s="1" t="s">
        <v>495</v>
      </c>
      <c r="D15" s="64"/>
      <c r="E15" s="64"/>
      <c r="F15" s="64"/>
    </row>
    <row r="16" ht="14.25" customHeight="1">
      <c r="B16" s="1" t="s">
        <v>496</v>
      </c>
      <c r="D16" s="64"/>
      <c r="E16" s="64"/>
      <c r="F16" s="64"/>
    </row>
    <row r="17" ht="14.25" customHeight="1">
      <c r="D17" s="64"/>
      <c r="E17" s="64"/>
      <c r="F17" s="64"/>
    </row>
    <row r="18" ht="14.25" customHeight="1">
      <c r="B18" s="214" t="s">
        <v>497</v>
      </c>
      <c r="D18" s="64"/>
      <c r="E18" s="64"/>
      <c r="F18" s="64"/>
    </row>
    <row r="19" ht="14.25" customHeight="1">
      <c r="B19" s="95" t="s">
        <v>498</v>
      </c>
      <c r="C19" s="97" t="s">
        <v>410</v>
      </c>
      <c r="D19" s="97" t="s">
        <v>412</v>
      </c>
      <c r="E19" s="97" t="s">
        <v>413</v>
      </c>
      <c r="F19" s="97" t="s">
        <v>414</v>
      </c>
    </row>
    <row r="20" ht="14.25" customHeight="1">
      <c r="B20" s="95" t="s">
        <v>499</v>
      </c>
      <c r="C20" s="94" t="s">
        <v>446</v>
      </c>
      <c r="D20" s="95" t="s">
        <v>500</v>
      </c>
      <c r="E20" s="50"/>
      <c r="F20" s="51"/>
    </row>
    <row r="21" ht="14.25" customHeight="1">
      <c r="B21" s="94" t="s">
        <v>501</v>
      </c>
      <c r="C21" s="94" t="s">
        <v>446</v>
      </c>
      <c r="D21" s="97" t="s">
        <v>466</v>
      </c>
      <c r="E21" s="97" t="s">
        <v>467</v>
      </c>
      <c r="F21" s="97" t="s">
        <v>468</v>
      </c>
    </row>
    <row r="22" ht="14.25" customHeight="1">
      <c r="B22" s="94" t="s">
        <v>502</v>
      </c>
      <c r="C22" s="276" t="s">
        <v>503</v>
      </c>
      <c r="D22" s="97" t="s">
        <v>429</v>
      </c>
      <c r="E22" s="97" t="s">
        <v>430</v>
      </c>
      <c r="F22" s="97" t="s">
        <v>430</v>
      </c>
    </row>
    <row r="23" ht="14.25" customHeight="1">
      <c r="B23" s="94" t="s">
        <v>504</v>
      </c>
      <c r="C23" s="276" t="s">
        <v>505</v>
      </c>
      <c r="D23" s="97" t="s">
        <v>506</v>
      </c>
      <c r="E23" s="97" t="s">
        <v>444</v>
      </c>
      <c r="F23" s="97" t="s">
        <v>445</v>
      </c>
    </row>
    <row r="24" ht="14.25" customHeight="1">
      <c r="B24" s="94" t="s">
        <v>507</v>
      </c>
      <c r="C24" s="279" t="s">
        <v>508</v>
      </c>
      <c r="D24" s="97" t="s">
        <v>419</v>
      </c>
      <c r="E24" s="97" t="s">
        <v>420</v>
      </c>
      <c r="F24" s="97" t="s">
        <v>421</v>
      </c>
    </row>
    <row r="25" ht="14.25" customHeight="1">
      <c r="B25" s="112" t="s">
        <v>509</v>
      </c>
      <c r="C25" s="280" t="s">
        <v>424</v>
      </c>
      <c r="D25" s="97" t="s">
        <v>425</v>
      </c>
      <c r="E25" s="97" t="s">
        <v>425</v>
      </c>
      <c r="F25" s="97" t="s">
        <v>426</v>
      </c>
    </row>
    <row r="26" ht="14.25" customHeight="1">
      <c r="B26" s="23"/>
      <c r="C26" s="28"/>
      <c r="D26" s="97"/>
      <c r="E26" s="97"/>
      <c r="F26" s="97"/>
    </row>
    <row r="27" ht="14.25" customHeight="1">
      <c r="B27" s="94" t="s">
        <v>469</v>
      </c>
      <c r="C27" s="94" t="s">
        <v>424</v>
      </c>
      <c r="D27" s="97" t="s">
        <v>470</v>
      </c>
      <c r="E27" s="97" t="s">
        <v>471</v>
      </c>
      <c r="F27" s="97" t="s">
        <v>472</v>
      </c>
    </row>
    <row r="28" ht="14.25" customHeight="1">
      <c r="B28" s="281" t="s">
        <v>510</v>
      </c>
      <c r="C28" s="278" t="s">
        <v>511</v>
      </c>
      <c r="D28" s="95" t="s">
        <v>512</v>
      </c>
      <c r="E28" s="50"/>
      <c r="F28" s="51"/>
    </row>
    <row r="29" ht="14.25" customHeight="1">
      <c r="B29" s="94" t="s">
        <v>513</v>
      </c>
      <c r="C29" s="94" t="s">
        <v>514</v>
      </c>
      <c r="D29" s="95" t="s">
        <v>454</v>
      </c>
      <c r="E29" s="50"/>
      <c r="F29" s="51"/>
    </row>
    <row r="30" ht="14.25" customHeight="1">
      <c r="B30" s="94" t="s">
        <v>515</v>
      </c>
      <c r="C30" s="279" t="s">
        <v>516</v>
      </c>
      <c r="D30" s="97" t="s">
        <v>434</v>
      </c>
      <c r="E30" s="97" t="s">
        <v>435</v>
      </c>
      <c r="F30" s="97" t="s">
        <v>436</v>
      </c>
    </row>
    <row r="31" ht="14.25" customHeight="1">
      <c r="B31" s="94" t="s">
        <v>517</v>
      </c>
      <c r="C31" s="94" t="s">
        <v>462</v>
      </c>
      <c r="D31" s="95" t="s">
        <v>464</v>
      </c>
      <c r="E31" s="50"/>
      <c r="F31" s="51"/>
    </row>
    <row r="32" ht="14.25" customHeight="1">
      <c r="B32" s="117" t="s">
        <v>474</v>
      </c>
      <c r="C32" s="278" t="s">
        <v>475</v>
      </c>
      <c r="D32" s="97" t="s">
        <v>518</v>
      </c>
      <c r="E32" s="97" t="s">
        <v>25</v>
      </c>
      <c r="F32" s="97" t="s">
        <v>519</v>
      </c>
    </row>
    <row r="33" ht="14.25" customHeight="1">
      <c r="B33" s="1" t="s">
        <v>520</v>
      </c>
      <c r="D33" s="64"/>
      <c r="E33" s="64"/>
      <c r="F33" s="64"/>
    </row>
    <row r="34" ht="14.25" customHeight="1">
      <c r="B34" s="1" t="s">
        <v>521</v>
      </c>
      <c r="D34" s="64"/>
      <c r="E34" s="64"/>
      <c r="F34" s="64"/>
    </row>
    <row r="35" ht="14.25" customHeight="1">
      <c r="B35" s="1" t="s">
        <v>522</v>
      </c>
      <c r="D35" s="64"/>
      <c r="E35" s="64"/>
      <c r="F35" s="64"/>
    </row>
    <row r="36" ht="14.25" customHeight="1">
      <c r="B36" s="1" t="s">
        <v>523</v>
      </c>
      <c r="D36" s="64"/>
      <c r="E36" s="64"/>
      <c r="F36" s="64"/>
    </row>
    <row r="37" ht="14.25" customHeight="1">
      <c r="B37" s="1" t="s">
        <v>524</v>
      </c>
      <c r="C37" s="1" t="s">
        <v>525</v>
      </c>
      <c r="D37" s="64"/>
      <c r="E37" s="64"/>
      <c r="F37" s="64"/>
    </row>
    <row r="38" ht="14.25" customHeight="1">
      <c r="D38" s="64"/>
      <c r="E38" s="64"/>
      <c r="F38" s="64"/>
    </row>
    <row r="39" ht="14.25" customHeight="1">
      <c r="B39" s="214" t="s">
        <v>526</v>
      </c>
      <c r="D39" s="64"/>
      <c r="E39" s="64"/>
      <c r="F39" s="64"/>
    </row>
    <row r="40" ht="14.25" customHeight="1">
      <c r="B40" s="97" t="s">
        <v>527</v>
      </c>
      <c r="C40" s="95" t="s">
        <v>528</v>
      </c>
      <c r="D40" s="50"/>
      <c r="E40" s="50"/>
      <c r="F40" s="50"/>
      <c r="G40" s="50"/>
      <c r="H40" s="50"/>
      <c r="I40" s="50"/>
      <c r="J40" s="51"/>
    </row>
    <row r="41" ht="14.25" customHeight="1">
      <c r="B41" s="94"/>
      <c r="C41" s="97" t="s">
        <v>529</v>
      </c>
      <c r="D41" s="97" t="s">
        <v>530</v>
      </c>
      <c r="E41" s="97" t="s">
        <v>531</v>
      </c>
      <c r="F41" s="97" t="s">
        <v>532</v>
      </c>
      <c r="G41" s="282" t="s">
        <v>533</v>
      </c>
      <c r="H41" s="282" t="s">
        <v>534</v>
      </c>
      <c r="I41" s="97" t="s">
        <v>535</v>
      </c>
      <c r="J41" s="97" t="s">
        <v>536</v>
      </c>
    </row>
    <row r="42" ht="14.25" customHeight="1">
      <c r="B42" s="94" t="s">
        <v>537</v>
      </c>
      <c r="C42" s="97" t="s">
        <v>538</v>
      </c>
      <c r="D42" s="97" t="s">
        <v>539</v>
      </c>
      <c r="E42" s="97" t="s">
        <v>540</v>
      </c>
      <c r="F42" s="97" t="s">
        <v>541</v>
      </c>
      <c r="G42" s="97" t="s">
        <v>538</v>
      </c>
      <c r="H42" s="97" t="s">
        <v>542</v>
      </c>
      <c r="I42" s="97" t="s">
        <v>542</v>
      </c>
      <c r="J42" s="97" t="s">
        <v>543</v>
      </c>
    </row>
    <row r="43" ht="14.25" customHeight="1">
      <c r="B43" s="94" t="s">
        <v>544</v>
      </c>
      <c r="C43" s="95" t="s">
        <v>545</v>
      </c>
      <c r="D43" s="50"/>
      <c r="E43" s="50"/>
      <c r="F43" s="50"/>
      <c r="G43" s="50"/>
      <c r="H43" s="50"/>
      <c r="I43" s="50"/>
      <c r="J43" s="51"/>
    </row>
    <row r="44" ht="14.25" customHeight="1">
      <c r="B44" s="94" t="s">
        <v>546</v>
      </c>
      <c r="C44" s="95" t="s">
        <v>547</v>
      </c>
      <c r="D44" s="50"/>
      <c r="E44" s="50"/>
      <c r="F44" s="50"/>
      <c r="G44" s="50"/>
      <c r="H44" s="50"/>
      <c r="I44" s="50"/>
      <c r="J44" s="51"/>
    </row>
    <row r="45" ht="14.25" customHeight="1">
      <c r="B45" s="94" t="s">
        <v>548</v>
      </c>
      <c r="C45" s="95" t="s">
        <v>549</v>
      </c>
      <c r="D45" s="50"/>
      <c r="E45" s="50"/>
      <c r="F45" s="50"/>
      <c r="G45" s="50"/>
      <c r="H45" s="50"/>
      <c r="I45" s="50"/>
      <c r="J45" s="51"/>
    </row>
    <row r="46" ht="14.25" customHeight="1">
      <c r="B46" s="1" t="s">
        <v>550</v>
      </c>
      <c r="D46" s="64"/>
      <c r="E46" s="64"/>
      <c r="F46" s="64"/>
    </row>
    <row r="47" ht="14.25" customHeight="1">
      <c r="B47" s="1" t="s">
        <v>551</v>
      </c>
      <c r="D47" s="64"/>
      <c r="E47" s="64"/>
      <c r="F47" s="64"/>
    </row>
    <row r="48" ht="14.25" customHeight="1">
      <c r="B48" s="1" t="s">
        <v>552</v>
      </c>
      <c r="D48" s="64"/>
      <c r="E48" s="64"/>
      <c r="F48" s="64"/>
    </row>
    <row r="49" ht="14.25" customHeight="1">
      <c r="B49" s="1" t="s">
        <v>553</v>
      </c>
      <c r="D49" s="64"/>
      <c r="E49" s="64"/>
      <c r="F49" s="64"/>
    </row>
    <row r="50" ht="14.25" customHeight="1">
      <c r="B50" s="1" t="s">
        <v>554</v>
      </c>
      <c r="D50" s="64"/>
      <c r="E50" s="64"/>
      <c r="F50" s="64"/>
    </row>
    <row r="51" ht="14.25" customHeight="1">
      <c r="B51" s="1" t="s">
        <v>555</v>
      </c>
      <c r="D51" s="64"/>
      <c r="E51" s="64"/>
      <c r="F51" s="64"/>
    </row>
    <row r="52" ht="14.25" customHeight="1">
      <c r="B52" s="1" t="s">
        <v>556</v>
      </c>
      <c r="D52" s="64"/>
      <c r="E52" s="64"/>
      <c r="F52" s="64"/>
    </row>
    <row r="53" ht="14.25" customHeight="1">
      <c r="B53" s="1" t="s">
        <v>557</v>
      </c>
      <c r="D53" s="64"/>
      <c r="E53" s="64"/>
      <c r="F53" s="64"/>
    </row>
    <row r="54" ht="14.25" customHeight="1">
      <c r="B54" s="1" t="s">
        <v>558</v>
      </c>
      <c r="D54" s="64"/>
      <c r="E54" s="64"/>
      <c r="F54" s="64"/>
    </row>
    <row r="55" ht="14.25" customHeight="1">
      <c r="D55" s="64"/>
      <c r="E55" s="64"/>
      <c r="F55" s="64"/>
    </row>
    <row r="56" ht="14.25" customHeight="1">
      <c r="B56" s="214" t="s">
        <v>559</v>
      </c>
      <c r="D56" s="64"/>
      <c r="E56" s="64"/>
      <c r="F56" s="64"/>
    </row>
    <row r="57" ht="45.0" customHeight="1">
      <c r="B57" s="283" t="s">
        <v>560</v>
      </c>
      <c r="C57" s="283" t="s">
        <v>561</v>
      </c>
      <c r="D57" s="284" t="s">
        <v>562</v>
      </c>
      <c r="E57" s="50"/>
      <c r="F57" s="51"/>
      <c r="G57" s="284" t="s">
        <v>563</v>
      </c>
      <c r="H57" s="50"/>
      <c r="I57" s="50"/>
      <c r="J57" s="51"/>
      <c r="K57" s="48" t="s">
        <v>564</v>
      </c>
    </row>
    <row r="58" ht="14.25" customHeight="1">
      <c r="B58" s="94"/>
      <c r="C58" s="94"/>
      <c r="D58" s="283" t="s">
        <v>565</v>
      </c>
      <c r="E58" s="283" t="s">
        <v>566</v>
      </c>
      <c r="F58" s="48" t="s">
        <v>567</v>
      </c>
      <c r="G58" s="95"/>
      <c r="H58" s="50"/>
      <c r="I58" s="50"/>
      <c r="J58" s="51"/>
      <c r="K58" s="94"/>
    </row>
    <row r="59" ht="14.25" customHeight="1">
      <c r="B59" s="285" t="s">
        <v>568</v>
      </c>
      <c r="C59" s="285" t="s">
        <v>569</v>
      </c>
      <c r="D59" s="283" t="s">
        <v>448</v>
      </c>
      <c r="E59" s="48"/>
      <c r="F59" s="283" t="s">
        <v>570</v>
      </c>
      <c r="G59" s="284" t="s">
        <v>571</v>
      </c>
      <c r="H59" s="50"/>
      <c r="I59" s="50"/>
      <c r="J59" s="51"/>
      <c r="K59" s="285" t="s">
        <v>572</v>
      </c>
    </row>
    <row r="60" ht="21.75" customHeight="1">
      <c r="B60" s="286" t="s">
        <v>573</v>
      </c>
      <c r="C60" s="97" t="s">
        <v>574</v>
      </c>
      <c r="D60" s="97" t="s">
        <v>575</v>
      </c>
      <c r="E60" s="97" t="s">
        <v>576</v>
      </c>
      <c r="F60" s="97" t="s">
        <v>577</v>
      </c>
      <c r="G60" s="287" t="s">
        <v>578</v>
      </c>
      <c r="H60" s="13"/>
      <c r="I60" s="13"/>
      <c r="J60" s="16"/>
      <c r="K60" s="111"/>
    </row>
    <row r="61" ht="21.75" customHeight="1">
      <c r="B61" s="21"/>
      <c r="C61" s="97" t="s">
        <v>579</v>
      </c>
      <c r="D61" s="97" t="s">
        <v>580</v>
      </c>
      <c r="E61" s="97" t="s">
        <v>581</v>
      </c>
      <c r="F61" s="97" t="s">
        <v>432</v>
      </c>
      <c r="G61" s="26"/>
      <c r="J61" s="27"/>
      <c r="K61" s="21"/>
    </row>
    <row r="62" ht="21.75" customHeight="1">
      <c r="B62" s="21"/>
      <c r="C62" s="288" t="s">
        <v>582</v>
      </c>
      <c r="D62" s="288" t="s">
        <v>583</v>
      </c>
      <c r="E62" s="97" t="s">
        <v>584</v>
      </c>
      <c r="F62" s="97" t="s">
        <v>431</v>
      </c>
      <c r="G62" s="26"/>
      <c r="J62" s="27"/>
      <c r="K62" s="21"/>
    </row>
    <row r="63" ht="21.75" customHeight="1">
      <c r="B63" s="21"/>
      <c r="C63" s="171" t="s">
        <v>535</v>
      </c>
      <c r="D63" s="95" t="s">
        <v>585</v>
      </c>
      <c r="E63" s="50"/>
      <c r="F63" s="51"/>
      <c r="G63" s="26"/>
      <c r="J63" s="27"/>
      <c r="K63" s="21"/>
    </row>
    <row r="64" ht="21.75" customHeight="1">
      <c r="B64" s="21"/>
      <c r="C64" s="28"/>
      <c r="D64" s="95" t="s">
        <v>586</v>
      </c>
      <c r="E64" s="50"/>
      <c r="F64" s="51"/>
      <c r="G64" s="26"/>
      <c r="J64" s="27"/>
      <c r="K64" s="21"/>
    </row>
    <row r="65" ht="21.75" customHeight="1">
      <c r="B65" s="28"/>
      <c r="C65" s="97" t="s">
        <v>587</v>
      </c>
      <c r="D65" s="95" t="s">
        <v>431</v>
      </c>
      <c r="E65" s="50"/>
      <c r="F65" s="51"/>
      <c r="G65" s="23"/>
      <c r="H65" s="6"/>
      <c r="I65" s="6"/>
      <c r="J65" s="25"/>
      <c r="K65" s="28"/>
    </row>
    <row r="66" ht="24.75" customHeight="1">
      <c r="B66" s="286" t="s">
        <v>588</v>
      </c>
      <c r="C66" s="97" t="s">
        <v>589</v>
      </c>
      <c r="D66" s="97" t="s">
        <v>590</v>
      </c>
      <c r="E66" s="97" t="s">
        <v>591</v>
      </c>
      <c r="F66" s="97" t="s">
        <v>592</v>
      </c>
      <c r="G66" s="287" t="s">
        <v>593</v>
      </c>
      <c r="H66" s="13"/>
      <c r="I66" s="13"/>
      <c r="J66" s="16"/>
      <c r="K66" s="289" t="s">
        <v>594</v>
      </c>
    </row>
    <row r="67" ht="24.75" customHeight="1">
      <c r="B67" s="21"/>
      <c r="C67" s="97" t="s">
        <v>595</v>
      </c>
      <c r="D67" s="97" t="s">
        <v>596</v>
      </c>
      <c r="E67" s="97" t="s">
        <v>597</v>
      </c>
      <c r="F67" s="97" t="s">
        <v>598</v>
      </c>
      <c r="G67" s="26"/>
      <c r="J67" s="27"/>
      <c r="K67" s="21"/>
    </row>
    <row r="68" ht="24.75" customHeight="1">
      <c r="B68" s="21"/>
      <c r="C68" s="288" t="s">
        <v>599</v>
      </c>
      <c r="D68" s="288" t="s">
        <v>431</v>
      </c>
      <c r="E68" s="97" t="s">
        <v>584</v>
      </c>
      <c r="F68" s="97" t="s">
        <v>583</v>
      </c>
      <c r="G68" s="26"/>
      <c r="J68" s="27"/>
      <c r="K68" s="21"/>
    </row>
    <row r="69" ht="24.75" customHeight="1">
      <c r="B69" s="21"/>
      <c r="C69" s="97" t="s">
        <v>535</v>
      </c>
      <c r="D69" s="290" t="s">
        <v>600</v>
      </c>
      <c r="E69" s="97" t="s">
        <v>25</v>
      </c>
      <c r="F69" s="97" t="s">
        <v>25</v>
      </c>
      <c r="G69" s="26"/>
      <c r="J69" s="27"/>
      <c r="K69" s="21"/>
    </row>
    <row r="70" ht="24.75" customHeight="1">
      <c r="B70" s="28"/>
      <c r="C70" s="97" t="s">
        <v>587</v>
      </c>
      <c r="D70" s="95" t="s">
        <v>601</v>
      </c>
      <c r="E70" s="50"/>
      <c r="F70" s="51"/>
      <c r="G70" s="23"/>
      <c r="H70" s="6"/>
      <c r="I70" s="6"/>
      <c r="J70" s="25"/>
      <c r="K70" s="28"/>
    </row>
    <row r="71" ht="26.25" customHeight="1">
      <c r="B71" s="291" t="s">
        <v>602</v>
      </c>
      <c r="C71" s="97" t="s">
        <v>574</v>
      </c>
      <c r="D71" s="97" t="s">
        <v>427</v>
      </c>
      <c r="E71" s="97" t="s">
        <v>603</v>
      </c>
      <c r="F71" s="97" t="s">
        <v>604</v>
      </c>
      <c r="G71" s="292" t="s">
        <v>605</v>
      </c>
      <c r="H71" s="13"/>
      <c r="I71" s="13"/>
      <c r="J71" s="16"/>
      <c r="K71" s="111"/>
    </row>
    <row r="72" ht="26.25" customHeight="1">
      <c r="B72" s="21"/>
      <c r="C72" s="97" t="s">
        <v>579</v>
      </c>
      <c r="D72" s="97" t="s">
        <v>427</v>
      </c>
      <c r="E72" s="97" t="s">
        <v>606</v>
      </c>
      <c r="F72" s="97" t="s">
        <v>607</v>
      </c>
      <c r="G72" s="26"/>
      <c r="J72" s="27"/>
      <c r="K72" s="21"/>
    </row>
    <row r="73" ht="26.25" customHeight="1">
      <c r="B73" s="21"/>
      <c r="C73" s="288" t="s">
        <v>582</v>
      </c>
      <c r="D73" s="288" t="s">
        <v>422</v>
      </c>
      <c r="E73" s="97" t="s">
        <v>608</v>
      </c>
      <c r="F73" s="97" t="s">
        <v>609</v>
      </c>
      <c r="G73" s="26"/>
      <c r="J73" s="27"/>
      <c r="K73" s="21"/>
    </row>
    <row r="74" ht="26.25" customHeight="1">
      <c r="B74" s="28"/>
      <c r="C74" s="97" t="s">
        <v>610</v>
      </c>
      <c r="D74" s="95" t="s">
        <v>601</v>
      </c>
      <c r="E74" s="50"/>
      <c r="F74" s="51"/>
      <c r="G74" s="23"/>
      <c r="H74" s="6"/>
      <c r="I74" s="6"/>
      <c r="J74" s="25"/>
      <c r="K74" s="28"/>
    </row>
    <row r="75" ht="33.0" customHeight="1">
      <c r="B75" s="286" t="s">
        <v>611</v>
      </c>
      <c r="C75" s="97" t="s">
        <v>589</v>
      </c>
      <c r="D75" s="97" t="s">
        <v>427</v>
      </c>
      <c r="E75" s="97" t="s">
        <v>606</v>
      </c>
      <c r="F75" s="97" t="s">
        <v>607</v>
      </c>
      <c r="G75" s="292" t="s">
        <v>612</v>
      </c>
      <c r="H75" s="13"/>
      <c r="I75" s="13"/>
      <c r="J75" s="16"/>
      <c r="K75" s="111"/>
    </row>
    <row r="76" ht="33.0" customHeight="1">
      <c r="B76" s="21"/>
      <c r="C76" s="288" t="s">
        <v>613</v>
      </c>
      <c r="D76" s="288" t="s">
        <v>427</v>
      </c>
      <c r="E76" s="97" t="s">
        <v>614</v>
      </c>
      <c r="F76" s="97" t="s">
        <v>615</v>
      </c>
      <c r="G76" s="23"/>
      <c r="H76" s="6"/>
      <c r="I76" s="6"/>
      <c r="J76" s="25"/>
      <c r="K76" s="21"/>
    </row>
    <row r="77" ht="27.0" customHeight="1">
      <c r="B77" s="21"/>
      <c r="C77" s="97" t="s">
        <v>616</v>
      </c>
      <c r="D77" s="97" t="s">
        <v>617</v>
      </c>
      <c r="E77" s="97" t="s">
        <v>618</v>
      </c>
      <c r="F77" s="97" t="s">
        <v>619</v>
      </c>
      <c r="G77" s="117" t="s">
        <v>620</v>
      </c>
      <c r="H77" s="50"/>
      <c r="I77" s="50"/>
      <c r="J77" s="51"/>
      <c r="K77" s="21"/>
    </row>
    <row r="78" ht="27.0" customHeight="1">
      <c r="B78" s="21"/>
      <c r="C78" s="97" t="s">
        <v>621</v>
      </c>
      <c r="D78" s="97" t="s">
        <v>427</v>
      </c>
      <c r="E78" s="97" t="s">
        <v>622</v>
      </c>
      <c r="F78" s="97" t="s">
        <v>609</v>
      </c>
      <c r="G78" s="117" t="s">
        <v>620</v>
      </c>
      <c r="H78" s="50"/>
      <c r="I78" s="50"/>
      <c r="J78" s="51"/>
      <c r="K78" s="21"/>
    </row>
    <row r="79" ht="27.0" customHeight="1">
      <c r="B79" s="28"/>
      <c r="C79" s="97" t="s">
        <v>610</v>
      </c>
      <c r="D79" s="95" t="s">
        <v>601</v>
      </c>
      <c r="E79" s="50"/>
      <c r="F79" s="51"/>
      <c r="G79" s="95"/>
      <c r="H79" s="50"/>
      <c r="I79" s="50"/>
      <c r="J79" s="51"/>
      <c r="K79" s="28"/>
    </row>
    <row r="80" ht="14.25" customHeight="1">
      <c r="B80" s="291" t="s">
        <v>623</v>
      </c>
      <c r="C80" s="95" t="s">
        <v>624</v>
      </c>
      <c r="D80" s="50"/>
      <c r="E80" s="50"/>
      <c r="F80" s="51"/>
      <c r="G80" s="162" t="s">
        <v>625</v>
      </c>
      <c r="H80" s="13"/>
      <c r="I80" s="13"/>
      <c r="J80" s="16"/>
      <c r="K80" s="111"/>
    </row>
    <row r="81" ht="14.25" customHeight="1">
      <c r="B81" s="21"/>
      <c r="C81" s="97" t="s">
        <v>589</v>
      </c>
      <c r="D81" s="97" t="s">
        <v>626</v>
      </c>
      <c r="E81" s="97" t="s">
        <v>627</v>
      </c>
      <c r="F81" s="97" t="s">
        <v>596</v>
      </c>
      <c r="G81" s="26"/>
      <c r="J81" s="27"/>
      <c r="K81" s="21"/>
    </row>
    <row r="82" ht="14.25" customHeight="1">
      <c r="B82" s="21"/>
      <c r="C82" s="97" t="s">
        <v>613</v>
      </c>
      <c r="D82" s="97" t="s">
        <v>575</v>
      </c>
      <c r="E82" s="97" t="s">
        <v>628</v>
      </c>
      <c r="F82" s="97" t="s">
        <v>629</v>
      </c>
      <c r="G82" s="26"/>
      <c r="J82" s="27"/>
      <c r="K82" s="21"/>
    </row>
    <row r="83" ht="14.25" customHeight="1">
      <c r="B83" s="21"/>
      <c r="C83" s="97" t="s">
        <v>616</v>
      </c>
      <c r="D83" s="97" t="s">
        <v>630</v>
      </c>
      <c r="E83" s="97" t="s">
        <v>631</v>
      </c>
      <c r="F83" s="97" t="s">
        <v>632</v>
      </c>
      <c r="G83" s="26"/>
      <c r="J83" s="27"/>
      <c r="K83" s="28"/>
    </row>
    <row r="84" ht="14.25" customHeight="1">
      <c r="B84" s="21"/>
      <c r="C84" s="97" t="s">
        <v>621</v>
      </c>
      <c r="D84" s="97" t="s">
        <v>575</v>
      </c>
      <c r="E84" s="97" t="s">
        <v>633</v>
      </c>
      <c r="F84" s="97" t="s">
        <v>634</v>
      </c>
      <c r="G84" s="26"/>
      <c r="J84" s="27"/>
      <c r="K84" s="94" t="s">
        <v>601</v>
      </c>
    </row>
    <row r="85" ht="14.25" customHeight="1">
      <c r="B85" s="21"/>
      <c r="C85" s="95" t="s">
        <v>635</v>
      </c>
      <c r="D85" s="50"/>
      <c r="E85" s="50"/>
      <c r="F85" s="51"/>
      <c r="G85" s="26"/>
      <c r="J85" s="27"/>
      <c r="K85" s="111"/>
    </row>
    <row r="86" ht="14.25" customHeight="1">
      <c r="B86" s="21"/>
      <c r="C86" s="97" t="s">
        <v>589</v>
      </c>
      <c r="D86" s="97" t="s">
        <v>636</v>
      </c>
      <c r="E86" s="97" t="s">
        <v>637</v>
      </c>
      <c r="F86" s="97" t="s">
        <v>638</v>
      </c>
      <c r="G86" s="26"/>
      <c r="J86" s="27"/>
      <c r="K86" s="21"/>
    </row>
    <row r="87" ht="14.25" customHeight="1">
      <c r="B87" s="21"/>
      <c r="C87" s="288" t="s">
        <v>613</v>
      </c>
      <c r="D87" s="288" t="s">
        <v>473</v>
      </c>
      <c r="E87" s="97" t="s">
        <v>639</v>
      </c>
      <c r="F87" s="97" t="s">
        <v>640</v>
      </c>
      <c r="G87" s="26"/>
      <c r="J87" s="27"/>
      <c r="K87" s="21"/>
    </row>
    <row r="88" ht="14.25" customHeight="1">
      <c r="B88" s="21"/>
      <c r="C88" s="97" t="s">
        <v>616</v>
      </c>
      <c r="D88" s="97" t="s">
        <v>580</v>
      </c>
      <c r="E88" s="97" t="s">
        <v>641</v>
      </c>
      <c r="F88" s="97" t="s">
        <v>445</v>
      </c>
      <c r="G88" s="26"/>
      <c r="J88" s="27"/>
      <c r="K88" s="28"/>
    </row>
    <row r="89" ht="14.25" customHeight="1">
      <c r="B89" s="28"/>
      <c r="C89" s="97" t="s">
        <v>621</v>
      </c>
      <c r="D89" s="97" t="s">
        <v>473</v>
      </c>
      <c r="E89" s="97" t="s">
        <v>642</v>
      </c>
      <c r="F89" s="97" t="s">
        <v>643</v>
      </c>
      <c r="G89" s="23"/>
      <c r="H89" s="6"/>
      <c r="I89" s="6"/>
      <c r="J89" s="25"/>
      <c r="K89" s="94" t="s">
        <v>601</v>
      </c>
    </row>
    <row r="90" ht="90.0" customHeight="1">
      <c r="B90" s="293" t="s">
        <v>644</v>
      </c>
      <c r="C90" s="48" t="s">
        <v>645</v>
      </c>
      <c r="D90" s="294" t="s">
        <v>646</v>
      </c>
      <c r="E90" s="294" t="s">
        <v>647</v>
      </c>
      <c r="F90" s="294" t="s">
        <v>648</v>
      </c>
      <c r="G90" s="295" t="s">
        <v>649</v>
      </c>
      <c r="H90" s="50"/>
      <c r="I90" s="50"/>
      <c r="J90" s="51"/>
      <c r="K90" s="296" t="s">
        <v>650</v>
      </c>
    </row>
    <row r="91" ht="99.75" customHeight="1">
      <c r="A91" s="297"/>
      <c r="B91" s="298" t="s">
        <v>651</v>
      </c>
      <c r="C91" s="299" t="s">
        <v>652</v>
      </c>
      <c r="D91" s="300" t="s">
        <v>653</v>
      </c>
      <c r="E91" s="300" t="s">
        <v>654</v>
      </c>
      <c r="F91" s="300" t="s">
        <v>655</v>
      </c>
      <c r="G91" s="301" t="s">
        <v>656</v>
      </c>
      <c r="H91" s="50"/>
      <c r="I91" s="50"/>
      <c r="J91" s="51"/>
      <c r="K91" s="300" t="s">
        <v>657</v>
      </c>
      <c r="L91" s="297"/>
      <c r="M91" s="297"/>
      <c r="N91" s="297"/>
      <c r="O91" s="297"/>
      <c r="P91" s="297"/>
      <c r="Q91" s="297"/>
      <c r="R91" s="297"/>
      <c r="S91" s="297"/>
      <c r="T91" s="297"/>
      <c r="U91" s="297"/>
      <c r="V91" s="297"/>
      <c r="W91" s="297"/>
      <c r="X91" s="297"/>
      <c r="Y91" s="297"/>
      <c r="Z91" s="297"/>
    </row>
    <row r="92" ht="86.25" customHeight="1">
      <c r="B92" s="293" t="s">
        <v>658</v>
      </c>
      <c r="C92" s="48" t="s">
        <v>645</v>
      </c>
      <c r="D92" s="284" t="s">
        <v>659</v>
      </c>
      <c r="E92" s="50"/>
      <c r="F92" s="51"/>
      <c r="G92" s="168" t="s">
        <v>660</v>
      </c>
      <c r="H92" s="50"/>
      <c r="I92" s="50"/>
      <c r="J92" s="51"/>
      <c r="K92" s="302" t="s">
        <v>661</v>
      </c>
    </row>
    <row r="93" ht="14.25" customHeight="1">
      <c r="B93" s="291" t="s">
        <v>662</v>
      </c>
      <c r="C93" s="97" t="s">
        <v>652</v>
      </c>
      <c r="D93" s="95"/>
      <c r="E93" s="50"/>
      <c r="F93" s="51"/>
      <c r="G93" s="162" t="s">
        <v>663</v>
      </c>
      <c r="H93" s="13"/>
      <c r="I93" s="13"/>
      <c r="J93" s="16"/>
      <c r="K93" s="303" t="s">
        <v>664</v>
      </c>
    </row>
    <row r="94" ht="14.25" customHeight="1">
      <c r="B94" s="21"/>
      <c r="C94" s="288" t="s">
        <v>665</v>
      </c>
      <c r="D94" s="288" t="s">
        <v>437</v>
      </c>
      <c r="E94" s="97" t="s">
        <v>666</v>
      </c>
      <c r="F94" s="97" t="s">
        <v>667</v>
      </c>
      <c r="G94" s="26"/>
      <c r="J94" s="27"/>
      <c r="K94" s="21"/>
    </row>
    <row r="95" ht="14.25" customHeight="1">
      <c r="B95" s="21"/>
      <c r="C95" s="288" t="s">
        <v>668</v>
      </c>
      <c r="D95" s="288" t="s">
        <v>439</v>
      </c>
      <c r="E95" s="97" t="s">
        <v>669</v>
      </c>
      <c r="F95" s="97" t="s">
        <v>596</v>
      </c>
      <c r="G95" s="23"/>
      <c r="H95" s="6"/>
      <c r="I95" s="6"/>
      <c r="J95" s="25"/>
      <c r="K95" s="28"/>
    </row>
    <row r="96" ht="14.25" customHeight="1">
      <c r="B96" s="21"/>
      <c r="C96" s="97" t="s">
        <v>621</v>
      </c>
      <c r="D96" s="95" t="s">
        <v>601</v>
      </c>
      <c r="E96" s="50"/>
      <c r="F96" s="51"/>
      <c r="G96" s="95"/>
      <c r="H96" s="50"/>
      <c r="I96" s="50"/>
      <c r="J96" s="51"/>
      <c r="K96" s="94"/>
    </row>
    <row r="97" ht="14.25" customHeight="1">
      <c r="B97" s="28"/>
      <c r="C97" s="97" t="s">
        <v>610</v>
      </c>
      <c r="D97" s="95" t="s">
        <v>670</v>
      </c>
      <c r="E97" s="50"/>
      <c r="F97" s="51"/>
      <c r="G97" s="117" t="s">
        <v>620</v>
      </c>
      <c r="H97" s="50"/>
      <c r="I97" s="50"/>
      <c r="J97" s="51"/>
      <c r="K97" s="94"/>
    </row>
    <row r="98" ht="115.5" customHeight="1">
      <c r="B98" s="94" t="s">
        <v>671</v>
      </c>
      <c r="C98" s="97" t="s">
        <v>652</v>
      </c>
      <c r="D98" s="97" t="s">
        <v>512</v>
      </c>
      <c r="E98" s="97"/>
      <c r="F98" s="97" t="s">
        <v>196</v>
      </c>
      <c r="G98" s="295" t="s">
        <v>672</v>
      </c>
      <c r="H98" s="50"/>
      <c r="I98" s="50"/>
      <c r="J98" s="51"/>
      <c r="K98" s="304" t="s">
        <v>673</v>
      </c>
    </row>
    <row r="99" ht="51.0" customHeight="1">
      <c r="B99" s="291" t="s">
        <v>674</v>
      </c>
      <c r="C99" s="97" t="s">
        <v>652</v>
      </c>
      <c r="D99" s="95" t="s">
        <v>675</v>
      </c>
      <c r="E99" s="50"/>
      <c r="F99" s="51"/>
      <c r="G99" s="295" t="s">
        <v>676</v>
      </c>
      <c r="H99" s="50"/>
      <c r="I99" s="50"/>
      <c r="J99" s="51"/>
      <c r="K99" s="294" t="s">
        <v>677</v>
      </c>
    </row>
    <row r="100" ht="14.25" customHeight="1">
      <c r="B100" s="28"/>
      <c r="C100" s="97" t="s">
        <v>587</v>
      </c>
      <c r="D100" s="95" t="s">
        <v>601</v>
      </c>
      <c r="E100" s="50"/>
      <c r="F100" s="51"/>
      <c r="G100" s="95"/>
      <c r="H100" s="50"/>
      <c r="I100" s="50"/>
      <c r="J100" s="51"/>
      <c r="K100" s="94"/>
    </row>
    <row r="101" ht="67.5" customHeight="1">
      <c r="B101" s="94" t="s">
        <v>678</v>
      </c>
      <c r="C101" s="97" t="s">
        <v>679</v>
      </c>
      <c r="D101" s="95" t="s">
        <v>680</v>
      </c>
      <c r="E101" s="50"/>
      <c r="F101" s="51"/>
      <c r="G101" s="305" t="s">
        <v>681</v>
      </c>
      <c r="H101" s="50"/>
      <c r="I101" s="50"/>
      <c r="J101" s="51"/>
      <c r="K101" s="304" t="s">
        <v>682</v>
      </c>
    </row>
    <row r="102" ht="14.25" customHeight="1">
      <c r="B102" s="94" t="s">
        <v>683</v>
      </c>
      <c r="C102" s="97" t="s">
        <v>679</v>
      </c>
      <c r="D102" s="95" t="s">
        <v>684</v>
      </c>
      <c r="E102" s="50"/>
      <c r="F102" s="51"/>
      <c r="G102" s="117" t="s">
        <v>685</v>
      </c>
      <c r="H102" s="50"/>
      <c r="I102" s="50"/>
      <c r="J102" s="51"/>
      <c r="K102" s="94" t="s">
        <v>686</v>
      </c>
    </row>
    <row r="103" ht="14.25" customHeight="1">
      <c r="D103" s="64"/>
      <c r="E103" s="64"/>
      <c r="F103" s="64"/>
    </row>
    <row r="104" ht="107.25" customHeight="1">
      <c r="B104" s="127" t="s">
        <v>687</v>
      </c>
    </row>
    <row r="105" ht="14.25" customHeight="1">
      <c r="D105" s="64"/>
      <c r="E105" s="64"/>
      <c r="F105" s="64"/>
    </row>
    <row r="106" ht="14.25" customHeight="1">
      <c r="B106" s="214" t="s">
        <v>688</v>
      </c>
      <c r="D106" s="64"/>
      <c r="E106" s="64"/>
      <c r="F106" s="64"/>
    </row>
    <row r="107" ht="14.25" customHeight="1">
      <c r="B107" s="97" t="s">
        <v>689</v>
      </c>
      <c r="C107" s="95" t="s">
        <v>690</v>
      </c>
      <c r="D107" s="50"/>
      <c r="E107" s="51"/>
      <c r="F107" s="129" t="s">
        <v>691</v>
      </c>
      <c r="G107" s="51"/>
    </row>
    <row r="108" ht="14.25" customHeight="1">
      <c r="B108" s="111" t="s">
        <v>692</v>
      </c>
      <c r="C108" s="95" t="s">
        <v>693</v>
      </c>
      <c r="D108" s="50"/>
      <c r="E108" s="51"/>
      <c r="F108" s="162" t="s">
        <v>694</v>
      </c>
      <c r="G108" s="16"/>
    </row>
    <row r="109" ht="14.25" customHeight="1">
      <c r="B109" s="21"/>
      <c r="C109" s="95" t="s">
        <v>695</v>
      </c>
      <c r="D109" s="50"/>
      <c r="E109" s="51"/>
      <c r="F109" s="26"/>
      <c r="G109" s="27"/>
    </row>
    <row r="110" ht="14.25" customHeight="1">
      <c r="B110" s="21"/>
      <c r="C110" s="95" t="s">
        <v>696</v>
      </c>
      <c r="D110" s="50"/>
      <c r="E110" s="51"/>
      <c r="F110" s="26"/>
      <c r="G110" s="27"/>
    </row>
    <row r="111" ht="14.25" customHeight="1">
      <c r="B111" s="28"/>
      <c r="C111" s="95" t="s">
        <v>697</v>
      </c>
      <c r="D111" s="50"/>
      <c r="E111" s="51"/>
      <c r="F111" s="23"/>
      <c r="G111" s="25"/>
    </row>
    <row r="112" ht="14.25" customHeight="1">
      <c r="B112" s="111" t="s">
        <v>698</v>
      </c>
      <c r="C112" s="95" t="s">
        <v>699</v>
      </c>
      <c r="D112" s="50"/>
      <c r="E112" s="51"/>
      <c r="F112" s="162" t="s">
        <v>700</v>
      </c>
      <c r="G112" s="16"/>
    </row>
    <row r="113" ht="14.25" customHeight="1">
      <c r="B113" s="21"/>
      <c r="C113" s="95" t="s">
        <v>701</v>
      </c>
      <c r="D113" s="50"/>
      <c r="E113" s="51"/>
      <c r="F113" s="26"/>
      <c r="G113" s="27"/>
    </row>
    <row r="114" ht="14.25" customHeight="1">
      <c r="B114" s="21"/>
      <c r="C114" s="95" t="s">
        <v>702</v>
      </c>
      <c r="D114" s="50"/>
      <c r="E114" s="51"/>
      <c r="F114" s="26"/>
      <c r="G114" s="27"/>
    </row>
    <row r="115" ht="14.25" customHeight="1">
      <c r="B115" s="21"/>
      <c r="C115" s="95" t="s">
        <v>703</v>
      </c>
      <c r="D115" s="50"/>
      <c r="E115" s="51"/>
      <c r="F115" s="26"/>
      <c r="G115" s="27"/>
    </row>
    <row r="116" ht="14.25" customHeight="1">
      <c r="B116" s="21"/>
      <c r="C116" s="95" t="s">
        <v>704</v>
      </c>
      <c r="D116" s="50"/>
      <c r="E116" s="51"/>
      <c r="F116" s="23"/>
      <c r="G116" s="25"/>
    </row>
    <row r="117" ht="14.25" customHeight="1">
      <c r="B117" s="21"/>
      <c r="C117" s="95" t="s">
        <v>705</v>
      </c>
      <c r="D117" s="50"/>
      <c r="E117" s="51"/>
      <c r="F117" s="306" t="s">
        <v>706</v>
      </c>
      <c r="G117" s="16"/>
    </row>
    <row r="118" ht="14.25" customHeight="1">
      <c r="B118" s="28"/>
      <c r="C118" s="95" t="s">
        <v>707</v>
      </c>
      <c r="D118" s="50"/>
      <c r="E118" s="51"/>
      <c r="F118" s="23"/>
      <c r="G118" s="25"/>
    </row>
    <row r="119" ht="36.75" customHeight="1">
      <c r="B119" s="97" t="s">
        <v>461</v>
      </c>
      <c r="C119" s="95" t="s">
        <v>708</v>
      </c>
      <c r="D119" s="50"/>
      <c r="E119" s="51"/>
      <c r="F119" s="138" t="s">
        <v>709</v>
      </c>
      <c r="G119" s="51"/>
    </row>
    <row r="120" ht="30.75" customHeight="1">
      <c r="B120" s="111" t="s">
        <v>510</v>
      </c>
      <c r="C120" s="126" t="s">
        <v>710</v>
      </c>
      <c r="D120" s="13"/>
      <c r="E120" s="16"/>
      <c r="F120" s="112" t="s">
        <v>711</v>
      </c>
      <c r="G120" s="16"/>
    </row>
    <row r="121" ht="14.25" customHeight="1">
      <c r="B121" s="21"/>
      <c r="C121" s="26"/>
      <c r="E121" s="27"/>
      <c r="F121" s="307" t="s">
        <v>712</v>
      </c>
      <c r="G121" s="27"/>
    </row>
    <row r="122" ht="14.25" customHeight="1">
      <c r="B122" s="21"/>
      <c r="C122" s="26"/>
      <c r="E122" s="27"/>
      <c r="F122" s="307" t="s">
        <v>713</v>
      </c>
      <c r="G122" s="27"/>
    </row>
    <row r="123" ht="14.25" customHeight="1">
      <c r="B123" s="28"/>
      <c r="C123" s="23"/>
      <c r="D123" s="6"/>
      <c r="E123" s="25"/>
      <c r="F123" s="308" t="s">
        <v>714</v>
      </c>
      <c r="G123" s="25"/>
    </row>
    <row r="124" ht="14.25" customHeight="1">
      <c r="B124" s="132" t="s">
        <v>715</v>
      </c>
      <c r="C124" s="13"/>
      <c r="D124" s="13"/>
      <c r="E124" s="13"/>
      <c r="F124" s="13"/>
      <c r="G124" s="16"/>
    </row>
    <row r="125" ht="14.25" customHeight="1">
      <c r="B125" s="309" t="s">
        <v>716</v>
      </c>
      <c r="G125" s="27"/>
    </row>
    <row r="126" ht="14.25" customHeight="1">
      <c r="B126" s="309" t="s">
        <v>717</v>
      </c>
      <c r="G126" s="27"/>
    </row>
    <row r="127" ht="14.25" customHeight="1">
      <c r="B127" s="309" t="s">
        <v>718</v>
      </c>
      <c r="G127" s="27"/>
    </row>
    <row r="128" ht="14.25" customHeight="1">
      <c r="B128" s="310" t="s">
        <v>719</v>
      </c>
      <c r="C128" s="6"/>
      <c r="D128" s="6"/>
      <c r="E128" s="6"/>
      <c r="F128" s="6"/>
      <c r="G128" s="25"/>
    </row>
    <row r="129" ht="14.25" customHeight="1">
      <c r="D129" s="64"/>
      <c r="E129" s="64"/>
      <c r="F129" s="64"/>
    </row>
    <row r="130" ht="14.25" customHeight="1">
      <c r="D130" s="64"/>
      <c r="E130" s="64"/>
      <c r="F130" s="64"/>
    </row>
    <row r="131" ht="14.25" customHeight="1">
      <c r="D131" s="64"/>
      <c r="E131" s="64"/>
      <c r="F131" s="64"/>
    </row>
    <row r="132" ht="14.25" customHeight="1">
      <c r="D132" s="64"/>
      <c r="E132" s="64"/>
      <c r="F132" s="64"/>
    </row>
    <row r="133" ht="14.25" customHeight="1">
      <c r="D133" s="64"/>
      <c r="E133" s="64"/>
      <c r="F133" s="64"/>
    </row>
    <row r="134" ht="14.25" customHeight="1">
      <c r="D134" s="64"/>
      <c r="E134" s="64"/>
      <c r="F134" s="64"/>
    </row>
    <row r="135" ht="14.25" customHeight="1">
      <c r="D135" s="64"/>
      <c r="E135" s="64"/>
      <c r="F135" s="64"/>
    </row>
    <row r="136" ht="14.25" customHeight="1">
      <c r="D136" s="64"/>
      <c r="E136" s="64"/>
      <c r="F136" s="64"/>
    </row>
    <row r="137" ht="14.25" customHeight="1">
      <c r="D137" s="64"/>
      <c r="E137" s="64"/>
      <c r="F137" s="64"/>
    </row>
    <row r="138" ht="14.25" customHeight="1">
      <c r="D138" s="64"/>
      <c r="E138" s="64"/>
      <c r="F138" s="64"/>
    </row>
    <row r="139" ht="14.25" customHeight="1">
      <c r="D139" s="64"/>
      <c r="E139" s="64"/>
      <c r="F139" s="64"/>
    </row>
    <row r="140" ht="14.25" customHeight="1">
      <c r="D140" s="64"/>
      <c r="E140" s="64"/>
      <c r="F140" s="64"/>
    </row>
    <row r="141" ht="14.25" customHeight="1">
      <c r="D141" s="64"/>
      <c r="E141" s="64"/>
      <c r="F141" s="64"/>
    </row>
    <row r="142" ht="14.25" customHeight="1">
      <c r="D142" s="64"/>
      <c r="E142" s="64"/>
      <c r="F142" s="64"/>
    </row>
    <row r="143" ht="14.25" customHeight="1">
      <c r="D143" s="64"/>
      <c r="E143" s="64"/>
      <c r="F143" s="64"/>
    </row>
    <row r="144" ht="14.25" customHeight="1">
      <c r="D144" s="64"/>
      <c r="E144" s="64"/>
      <c r="F144" s="64"/>
    </row>
    <row r="145" ht="14.25" customHeight="1">
      <c r="D145" s="64"/>
      <c r="E145" s="64"/>
      <c r="F145" s="64"/>
    </row>
    <row r="146" ht="14.25" customHeight="1">
      <c r="D146" s="64"/>
      <c r="E146" s="64"/>
      <c r="F146" s="64"/>
    </row>
    <row r="147" ht="14.25" customHeight="1">
      <c r="D147" s="64"/>
      <c r="E147" s="64"/>
      <c r="F147" s="64"/>
    </row>
    <row r="148" ht="14.25" customHeight="1">
      <c r="D148" s="64"/>
      <c r="E148" s="64"/>
      <c r="F148" s="64"/>
    </row>
    <row r="149" ht="14.25" customHeight="1">
      <c r="D149" s="64"/>
      <c r="E149" s="64"/>
      <c r="F149" s="64"/>
    </row>
    <row r="150" ht="14.25" customHeight="1">
      <c r="D150" s="64"/>
      <c r="E150" s="64"/>
      <c r="F150" s="64"/>
    </row>
    <row r="151" ht="14.25" customHeight="1">
      <c r="D151" s="64"/>
      <c r="E151" s="64"/>
      <c r="F151" s="64"/>
    </row>
    <row r="152" ht="14.25" customHeight="1">
      <c r="D152" s="64"/>
      <c r="E152" s="64"/>
      <c r="F152" s="64"/>
    </row>
    <row r="153" ht="14.25" customHeight="1">
      <c r="D153" s="64"/>
      <c r="E153" s="64"/>
      <c r="F153" s="64"/>
    </row>
    <row r="154" ht="14.25" customHeight="1">
      <c r="D154" s="64"/>
      <c r="E154" s="64"/>
      <c r="F154" s="64"/>
    </row>
    <row r="155" ht="14.25" customHeight="1">
      <c r="D155" s="64"/>
      <c r="E155" s="64"/>
      <c r="F155" s="64"/>
    </row>
    <row r="156" ht="14.25" customHeight="1">
      <c r="D156" s="64"/>
      <c r="E156" s="64"/>
      <c r="F156" s="64"/>
    </row>
    <row r="157" ht="14.25" customHeight="1">
      <c r="D157" s="64"/>
      <c r="E157" s="64"/>
      <c r="F157" s="64"/>
    </row>
    <row r="158" ht="14.25" customHeight="1">
      <c r="D158" s="64"/>
      <c r="E158" s="64"/>
      <c r="F158" s="64"/>
    </row>
    <row r="159" ht="14.25" customHeight="1">
      <c r="D159" s="64"/>
      <c r="E159" s="64"/>
      <c r="F159" s="64"/>
    </row>
    <row r="160" ht="14.25" customHeight="1">
      <c r="D160" s="64"/>
      <c r="E160" s="64"/>
      <c r="F160" s="64"/>
    </row>
    <row r="161" ht="14.25" customHeight="1">
      <c r="D161" s="64"/>
      <c r="E161" s="64"/>
      <c r="F161" s="64"/>
    </row>
    <row r="162" ht="14.25" customHeight="1">
      <c r="D162" s="64"/>
      <c r="E162" s="64"/>
      <c r="F162" s="64"/>
    </row>
    <row r="163" ht="14.25" customHeight="1">
      <c r="D163" s="64"/>
      <c r="E163" s="64"/>
      <c r="F163" s="64"/>
    </row>
    <row r="164" ht="14.25" customHeight="1">
      <c r="D164" s="64"/>
      <c r="E164" s="64"/>
      <c r="F164" s="64"/>
    </row>
    <row r="165" ht="14.25" customHeight="1">
      <c r="D165" s="64"/>
      <c r="E165" s="64"/>
      <c r="F165" s="64"/>
    </row>
    <row r="166" ht="14.25" customHeight="1">
      <c r="D166" s="64"/>
      <c r="E166" s="64"/>
      <c r="F166" s="64"/>
    </row>
    <row r="167" ht="14.25" customHeight="1">
      <c r="D167" s="64"/>
      <c r="E167" s="64"/>
      <c r="F167" s="64"/>
    </row>
    <row r="168" ht="14.25" customHeight="1">
      <c r="D168" s="64"/>
      <c r="E168" s="64"/>
      <c r="F168" s="64"/>
    </row>
    <row r="169" ht="14.25" customHeight="1">
      <c r="D169" s="64"/>
      <c r="E169" s="64"/>
      <c r="F169" s="64"/>
    </row>
    <row r="170" ht="14.25" customHeight="1">
      <c r="D170" s="64"/>
      <c r="E170" s="64"/>
      <c r="F170" s="64"/>
    </row>
    <row r="171" ht="14.25" customHeight="1">
      <c r="D171" s="64"/>
      <c r="E171" s="64"/>
      <c r="F171" s="64"/>
    </row>
    <row r="172" ht="14.25" customHeight="1">
      <c r="D172" s="64"/>
      <c r="E172" s="64"/>
      <c r="F172" s="64"/>
    </row>
    <row r="173" ht="14.25" customHeight="1">
      <c r="D173" s="64"/>
      <c r="E173" s="64"/>
      <c r="F173" s="64"/>
    </row>
    <row r="174" ht="14.25" customHeight="1">
      <c r="D174" s="64"/>
      <c r="E174" s="64"/>
      <c r="F174" s="64"/>
    </row>
    <row r="175" ht="14.25" customHeight="1">
      <c r="D175" s="64"/>
      <c r="E175" s="64"/>
      <c r="F175" s="64"/>
    </row>
    <row r="176" ht="14.25" customHeight="1">
      <c r="D176" s="64"/>
      <c r="E176" s="64"/>
      <c r="F176" s="64"/>
    </row>
    <row r="177" ht="14.25" customHeight="1">
      <c r="D177" s="64"/>
      <c r="E177" s="64"/>
      <c r="F177" s="64"/>
    </row>
    <row r="178" ht="14.25" customHeight="1">
      <c r="D178" s="64"/>
      <c r="E178" s="64"/>
      <c r="F178" s="64"/>
    </row>
    <row r="179" ht="14.25" customHeight="1">
      <c r="D179" s="64"/>
      <c r="E179" s="64"/>
      <c r="F179" s="64"/>
    </row>
    <row r="180" ht="14.25" customHeight="1">
      <c r="D180" s="64"/>
      <c r="E180" s="64"/>
      <c r="F180" s="64"/>
    </row>
    <row r="181" ht="14.25" customHeight="1">
      <c r="D181" s="64"/>
      <c r="E181" s="64"/>
      <c r="F181" s="64"/>
    </row>
    <row r="182" ht="14.25" customHeight="1">
      <c r="D182" s="64"/>
      <c r="E182" s="64"/>
      <c r="F182" s="64"/>
    </row>
    <row r="183" ht="14.25" customHeight="1">
      <c r="D183" s="64"/>
      <c r="E183" s="64"/>
      <c r="F183" s="64"/>
    </row>
    <row r="184" ht="14.25" customHeight="1">
      <c r="D184" s="64"/>
      <c r="E184" s="64"/>
      <c r="F184" s="64"/>
    </row>
    <row r="185" ht="14.25" customHeight="1">
      <c r="D185" s="64"/>
      <c r="E185" s="64"/>
      <c r="F185" s="64"/>
    </row>
    <row r="186" ht="14.25" customHeight="1">
      <c r="D186" s="64"/>
      <c r="E186" s="64"/>
      <c r="F186" s="64"/>
    </row>
    <row r="187" ht="14.25" customHeight="1">
      <c r="D187" s="64"/>
      <c r="E187" s="64"/>
      <c r="F187" s="64"/>
    </row>
    <row r="188" ht="14.25" customHeight="1">
      <c r="D188" s="64"/>
      <c r="E188" s="64"/>
      <c r="F188" s="64"/>
    </row>
    <row r="189" ht="14.25" customHeight="1">
      <c r="D189" s="64"/>
      <c r="E189" s="64"/>
      <c r="F189" s="64"/>
    </row>
    <row r="190" ht="14.25" customHeight="1">
      <c r="D190" s="64"/>
      <c r="E190" s="64"/>
      <c r="F190" s="64"/>
    </row>
    <row r="191" ht="14.25" customHeight="1">
      <c r="D191" s="64"/>
      <c r="E191" s="64"/>
      <c r="F191" s="64"/>
    </row>
    <row r="192" ht="14.25" customHeight="1">
      <c r="D192" s="64"/>
      <c r="E192" s="64"/>
      <c r="F192" s="64"/>
    </row>
    <row r="193" ht="14.25" customHeight="1">
      <c r="D193" s="64"/>
      <c r="E193" s="64"/>
      <c r="F193" s="64"/>
    </row>
    <row r="194" ht="14.25" customHeight="1">
      <c r="D194" s="64"/>
      <c r="E194" s="64"/>
      <c r="F194" s="64"/>
    </row>
    <row r="195" ht="14.25" customHeight="1">
      <c r="D195" s="64"/>
      <c r="E195" s="64"/>
      <c r="F195" s="64"/>
    </row>
    <row r="196" ht="14.25" customHeight="1">
      <c r="D196" s="64"/>
      <c r="E196" s="64"/>
      <c r="F196" s="64"/>
    </row>
    <row r="197" ht="14.25" customHeight="1">
      <c r="D197" s="64"/>
      <c r="E197" s="64"/>
      <c r="F197" s="64"/>
    </row>
    <row r="198" ht="14.25" customHeight="1">
      <c r="D198" s="64"/>
      <c r="E198" s="64"/>
      <c r="F198" s="64"/>
    </row>
    <row r="199" ht="14.25" customHeight="1">
      <c r="D199" s="64"/>
      <c r="E199" s="64"/>
      <c r="F199" s="64"/>
    </row>
    <row r="200" ht="14.25" customHeight="1">
      <c r="D200" s="64"/>
      <c r="E200" s="64"/>
      <c r="F200" s="64"/>
    </row>
    <row r="201" ht="14.25" customHeight="1">
      <c r="D201" s="64"/>
      <c r="E201" s="64"/>
      <c r="F201" s="64"/>
    </row>
    <row r="202" ht="14.25" customHeight="1">
      <c r="D202" s="64"/>
      <c r="E202" s="64"/>
      <c r="F202" s="64"/>
    </row>
    <row r="203" ht="14.25" customHeight="1">
      <c r="D203" s="64"/>
      <c r="E203" s="64"/>
      <c r="F203" s="64"/>
    </row>
    <row r="204" ht="14.25" customHeight="1">
      <c r="D204" s="64"/>
      <c r="E204" s="64"/>
      <c r="F204" s="64"/>
    </row>
    <row r="205" ht="14.25" customHeight="1">
      <c r="D205" s="64"/>
      <c r="E205" s="64"/>
      <c r="F205" s="64"/>
    </row>
    <row r="206" ht="14.25" customHeight="1">
      <c r="D206" s="64"/>
      <c r="E206" s="64"/>
      <c r="F206" s="64"/>
    </row>
    <row r="207" ht="14.25" customHeight="1">
      <c r="D207" s="64"/>
      <c r="E207" s="64"/>
      <c r="F207" s="64"/>
    </row>
    <row r="208" ht="14.25" customHeight="1">
      <c r="D208" s="64"/>
      <c r="E208" s="64"/>
      <c r="F208" s="64"/>
    </row>
    <row r="209" ht="14.25" customHeight="1">
      <c r="D209" s="64"/>
      <c r="E209" s="64"/>
      <c r="F209" s="64"/>
    </row>
    <row r="210" ht="14.25" customHeight="1">
      <c r="D210" s="64"/>
      <c r="E210" s="64"/>
      <c r="F210" s="64"/>
    </row>
    <row r="211" ht="14.25" customHeight="1">
      <c r="D211" s="64"/>
      <c r="E211" s="64"/>
      <c r="F211" s="64"/>
    </row>
    <row r="212" ht="14.25" customHeight="1">
      <c r="D212" s="64"/>
      <c r="E212" s="64"/>
      <c r="F212" s="64"/>
    </row>
    <row r="213" ht="14.25" customHeight="1">
      <c r="D213" s="64"/>
      <c r="E213" s="64"/>
      <c r="F213" s="64"/>
    </row>
    <row r="214" ht="14.25" customHeight="1">
      <c r="D214" s="64"/>
      <c r="E214" s="64"/>
      <c r="F214" s="64"/>
    </row>
    <row r="215" ht="14.25" customHeight="1">
      <c r="D215" s="64"/>
      <c r="E215" s="64"/>
      <c r="F215" s="64"/>
    </row>
    <row r="216" ht="14.25" customHeight="1">
      <c r="D216" s="64"/>
      <c r="E216" s="64"/>
      <c r="F216" s="64"/>
    </row>
    <row r="217" ht="14.25" customHeight="1">
      <c r="D217" s="64"/>
      <c r="E217" s="64"/>
      <c r="F217" s="64"/>
    </row>
    <row r="218" ht="14.25" customHeight="1">
      <c r="D218" s="64"/>
      <c r="E218" s="64"/>
      <c r="F218" s="64"/>
    </row>
    <row r="219" ht="14.25" customHeight="1">
      <c r="D219" s="64"/>
      <c r="E219" s="64"/>
      <c r="F219" s="64"/>
    </row>
    <row r="220" ht="14.25" customHeight="1">
      <c r="D220" s="64"/>
      <c r="E220" s="64"/>
      <c r="F220" s="64"/>
    </row>
    <row r="221" ht="14.25" customHeight="1">
      <c r="D221" s="64"/>
      <c r="E221" s="64"/>
      <c r="F221" s="64"/>
    </row>
    <row r="222" ht="14.25" customHeight="1">
      <c r="D222" s="64"/>
      <c r="E222" s="64"/>
      <c r="F222" s="64"/>
    </row>
    <row r="223" ht="14.25" customHeight="1">
      <c r="D223" s="64"/>
      <c r="E223" s="64"/>
      <c r="F223" s="64"/>
    </row>
    <row r="224" ht="14.25" customHeight="1">
      <c r="D224" s="64"/>
      <c r="E224" s="64"/>
      <c r="F224" s="64"/>
    </row>
    <row r="225" ht="14.25" customHeight="1">
      <c r="D225" s="64"/>
      <c r="E225" s="64"/>
      <c r="F225" s="64"/>
    </row>
    <row r="226" ht="14.25" customHeight="1">
      <c r="D226" s="64"/>
      <c r="E226" s="64"/>
      <c r="F226" s="64"/>
    </row>
    <row r="227" ht="14.25" customHeight="1">
      <c r="D227" s="64"/>
      <c r="E227" s="64"/>
      <c r="F227" s="64"/>
    </row>
    <row r="228" ht="14.25" customHeight="1">
      <c r="D228" s="64"/>
      <c r="E228" s="64"/>
      <c r="F228" s="64"/>
    </row>
    <row r="229" ht="14.25" customHeight="1">
      <c r="D229" s="64"/>
      <c r="E229" s="64"/>
      <c r="F229" s="64"/>
    </row>
    <row r="230" ht="14.25" customHeight="1">
      <c r="D230" s="64"/>
      <c r="E230" s="64"/>
      <c r="F230" s="64"/>
    </row>
    <row r="231" ht="14.25" customHeight="1">
      <c r="D231" s="64"/>
      <c r="E231" s="64"/>
      <c r="F231" s="64"/>
    </row>
    <row r="232" ht="14.25" customHeight="1">
      <c r="D232" s="64"/>
      <c r="E232" s="64"/>
      <c r="F232" s="64"/>
    </row>
    <row r="233" ht="14.25" customHeight="1">
      <c r="D233" s="64"/>
      <c r="E233" s="64"/>
      <c r="F233" s="64"/>
    </row>
    <row r="234" ht="14.25" customHeight="1">
      <c r="D234" s="64"/>
      <c r="E234" s="64"/>
      <c r="F234" s="64"/>
    </row>
    <row r="235" ht="14.25" customHeight="1">
      <c r="D235" s="64"/>
      <c r="E235" s="64"/>
      <c r="F235" s="64"/>
    </row>
    <row r="236" ht="14.25" customHeight="1">
      <c r="D236" s="64"/>
      <c r="E236" s="64"/>
      <c r="F236" s="64"/>
    </row>
    <row r="237" ht="14.25" customHeight="1">
      <c r="D237" s="64"/>
      <c r="E237" s="64"/>
      <c r="F237" s="64"/>
    </row>
    <row r="238" ht="14.25" customHeight="1">
      <c r="D238" s="64"/>
      <c r="E238" s="64"/>
      <c r="F238" s="64"/>
    </row>
    <row r="239" ht="14.25" customHeight="1">
      <c r="D239" s="64"/>
      <c r="E239" s="64"/>
      <c r="F239" s="64"/>
    </row>
    <row r="240" ht="14.25" customHeight="1">
      <c r="D240" s="64"/>
      <c r="E240" s="64"/>
      <c r="F240" s="64"/>
    </row>
    <row r="241" ht="14.25" customHeight="1">
      <c r="D241" s="64"/>
      <c r="E241" s="64"/>
      <c r="F241" s="64"/>
    </row>
    <row r="242" ht="14.25" customHeight="1">
      <c r="D242" s="64"/>
      <c r="E242" s="64"/>
      <c r="F242" s="64"/>
    </row>
    <row r="243" ht="14.25" customHeight="1">
      <c r="D243" s="64"/>
      <c r="E243" s="64"/>
      <c r="F243" s="64"/>
    </row>
    <row r="244" ht="14.25" customHeight="1">
      <c r="D244" s="64"/>
      <c r="E244" s="64"/>
      <c r="F244" s="64"/>
    </row>
    <row r="245" ht="14.25" customHeight="1">
      <c r="D245" s="64"/>
      <c r="E245" s="64"/>
      <c r="F245" s="64"/>
    </row>
    <row r="246" ht="14.25" customHeight="1">
      <c r="D246" s="64"/>
      <c r="E246" s="64"/>
      <c r="F246" s="64"/>
    </row>
    <row r="247" ht="14.25" customHeight="1">
      <c r="D247" s="64"/>
      <c r="E247" s="64"/>
      <c r="F247" s="64"/>
    </row>
    <row r="248" ht="14.25" customHeight="1">
      <c r="D248" s="64"/>
      <c r="E248" s="64"/>
      <c r="F248" s="64"/>
    </row>
    <row r="249" ht="14.25" customHeight="1">
      <c r="D249" s="64"/>
      <c r="E249" s="64"/>
      <c r="F249" s="64"/>
    </row>
    <row r="250" ht="14.25" customHeight="1">
      <c r="D250" s="64"/>
      <c r="E250" s="64"/>
      <c r="F250" s="64"/>
    </row>
    <row r="251" ht="14.25" customHeight="1">
      <c r="D251" s="64"/>
      <c r="E251" s="64"/>
      <c r="F251" s="64"/>
    </row>
    <row r="252" ht="14.25" customHeight="1">
      <c r="D252" s="64"/>
      <c r="E252" s="64"/>
      <c r="F252" s="64"/>
    </row>
    <row r="253" ht="14.25" customHeight="1">
      <c r="D253" s="64"/>
      <c r="E253" s="64"/>
      <c r="F253" s="64"/>
    </row>
    <row r="254" ht="14.25" customHeight="1">
      <c r="D254" s="64"/>
      <c r="E254" s="64"/>
      <c r="F254" s="64"/>
    </row>
    <row r="255" ht="14.25" customHeight="1">
      <c r="D255" s="64"/>
      <c r="E255" s="64"/>
      <c r="F255" s="64"/>
    </row>
    <row r="256" ht="14.25" customHeight="1">
      <c r="D256" s="64"/>
      <c r="E256" s="64"/>
      <c r="F256" s="64"/>
    </row>
    <row r="257" ht="14.25" customHeight="1">
      <c r="D257" s="64"/>
      <c r="E257" s="64"/>
      <c r="F257" s="64"/>
    </row>
    <row r="258" ht="14.25" customHeight="1">
      <c r="D258" s="64"/>
      <c r="E258" s="64"/>
      <c r="F258" s="64"/>
    </row>
    <row r="259" ht="14.25" customHeight="1">
      <c r="D259" s="64"/>
      <c r="E259" s="64"/>
      <c r="F259" s="64"/>
    </row>
    <row r="260" ht="14.25" customHeight="1">
      <c r="D260" s="64"/>
      <c r="E260" s="64"/>
      <c r="F260" s="64"/>
    </row>
    <row r="261" ht="14.25" customHeight="1">
      <c r="D261" s="64"/>
      <c r="E261" s="64"/>
      <c r="F261" s="64"/>
    </row>
    <row r="262" ht="14.25" customHeight="1">
      <c r="D262" s="64"/>
      <c r="E262" s="64"/>
      <c r="F262" s="64"/>
    </row>
    <row r="263" ht="14.25" customHeight="1">
      <c r="D263" s="64"/>
      <c r="E263" s="64"/>
      <c r="F263" s="64"/>
    </row>
    <row r="264" ht="14.25" customHeight="1">
      <c r="D264" s="64"/>
      <c r="E264" s="64"/>
      <c r="F264" s="64"/>
    </row>
    <row r="265" ht="14.25" customHeight="1">
      <c r="D265" s="64"/>
      <c r="E265" s="64"/>
      <c r="F265" s="64"/>
    </row>
    <row r="266" ht="14.25" customHeight="1">
      <c r="D266" s="64"/>
      <c r="E266" s="64"/>
      <c r="F266" s="64"/>
    </row>
    <row r="267" ht="14.25" customHeight="1">
      <c r="D267" s="64"/>
      <c r="E267" s="64"/>
      <c r="F267" s="64"/>
    </row>
    <row r="268" ht="14.25" customHeight="1">
      <c r="D268" s="64"/>
      <c r="E268" s="64"/>
      <c r="F268" s="64"/>
    </row>
    <row r="269" ht="14.25" customHeight="1">
      <c r="D269" s="64"/>
      <c r="E269" s="64"/>
      <c r="F269" s="64"/>
    </row>
    <row r="270" ht="14.25" customHeight="1">
      <c r="D270" s="64"/>
      <c r="E270" s="64"/>
      <c r="F270" s="64"/>
    </row>
    <row r="271" ht="14.25" customHeight="1">
      <c r="D271" s="64"/>
      <c r="E271" s="64"/>
      <c r="F271" s="64"/>
    </row>
    <row r="272" ht="14.25" customHeight="1">
      <c r="D272" s="64"/>
      <c r="E272" s="64"/>
      <c r="F272" s="64"/>
    </row>
    <row r="273" ht="14.25" customHeight="1">
      <c r="D273" s="64"/>
      <c r="E273" s="64"/>
      <c r="F273" s="64"/>
    </row>
    <row r="274" ht="14.25" customHeight="1">
      <c r="D274" s="64"/>
      <c r="E274" s="64"/>
      <c r="F274" s="64"/>
    </row>
    <row r="275" ht="14.25" customHeight="1">
      <c r="D275" s="64"/>
      <c r="E275" s="64"/>
      <c r="F275" s="64"/>
    </row>
    <row r="276" ht="14.25" customHeight="1">
      <c r="D276" s="64"/>
      <c r="E276" s="64"/>
      <c r="F276" s="64"/>
    </row>
    <row r="277" ht="14.25" customHeight="1">
      <c r="D277" s="64"/>
      <c r="E277" s="64"/>
      <c r="F277" s="64"/>
    </row>
    <row r="278" ht="14.25" customHeight="1">
      <c r="D278" s="64"/>
      <c r="E278" s="64"/>
      <c r="F278" s="64"/>
    </row>
    <row r="279" ht="14.25" customHeight="1">
      <c r="D279" s="64"/>
      <c r="E279" s="64"/>
      <c r="F279" s="64"/>
    </row>
    <row r="280" ht="14.25" customHeight="1">
      <c r="D280" s="64"/>
      <c r="E280" s="64"/>
      <c r="F280" s="64"/>
    </row>
    <row r="281" ht="14.25" customHeight="1">
      <c r="D281" s="64"/>
      <c r="E281" s="64"/>
      <c r="F281" s="64"/>
    </row>
    <row r="282" ht="14.25" customHeight="1">
      <c r="D282" s="64"/>
      <c r="E282" s="64"/>
      <c r="F282" s="64"/>
    </row>
    <row r="283" ht="14.25" customHeight="1">
      <c r="D283" s="64"/>
      <c r="E283" s="64"/>
      <c r="F283" s="64"/>
    </row>
    <row r="284" ht="14.25" customHeight="1">
      <c r="D284" s="64"/>
      <c r="E284" s="64"/>
      <c r="F284" s="64"/>
    </row>
    <row r="285" ht="14.25" customHeight="1">
      <c r="D285" s="64"/>
      <c r="E285" s="64"/>
      <c r="F285" s="64"/>
    </row>
    <row r="286" ht="14.25" customHeight="1">
      <c r="D286" s="64"/>
      <c r="E286" s="64"/>
      <c r="F286" s="64"/>
    </row>
    <row r="287" ht="14.25" customHeight="1">
      <c r="D287" s="64"/>
      <c r="E287" s="64"/>
      <c r="F287" s="64"/>
    </row>
    <row r="288" ht="14.25" customHeight="1">
      <c r="D288" s="64"/>
      <c r="E288" s="64"/>
      <c r="F288" s="64"/>
    </row>
    <row r="289" ht="14.25" customHeight="1">
      <c r="D289" s="64"/>
      <c r="E289" s="64"/>
      <c r="F289" s="64"/>
    </row>
    <row r="290" ht="14.25" customHeight="1">
      <c r="D290" s="64"/>
      <c r="E290" s="64"/>
      <c r="F290" s="64"/>
    </row>
    <row r="291" ht="14.25" customHeight="1">
      <c r="D291" s="64"/>
      <c r="E291" s="64"/>
      <c r="F291" s="64"/>
    </row>
    <row r="292" ht="14.25" customHeight="1">
      <c r="D292" s="64"/>
      <c r="E292" s="64"/>
      <c r="F292" s="64"/>
    </row>
    <row r="293" ht="14.25" customHeight="1">
      <c r="D293" s="64"/>
      <c r="E293" s="64"/>
      <c r="F293" s="64"/>
    </row>
    <row r="294" ht="14.25" customHeight="1">
      <c r="D294" s="64"/>
      <c r="E294" s="64"/>
      <c r="F294" s="64"/>
    </row>
    <row r="295" ht="14.25" customHeight="1">
      <c r="D295" s="64"/>
      <c r="E295" s="64"/>
      <c r="F295" s="64"/>
    </row>
    <row r="296" ht="14.25" customHeight="1">
      <c r="D296" s="64"/>
      <c r="E296" s="64"/>
      <c r="F296" s="64"/>
    </row>
    <row r="297" ht="14.25" customHeight="1">
      <c r="D297" s="64"/>
      <c r="E297" s="64"/>
      <c r="F297" s="64"/>
    </row>
    <row r="298" ht="14.25" customHeight="1">
      <c r="D298" s="64"/>
      <c r="E298" s="64"/>
      <c r="F298" s="64"/>
    </row>
    <row r="299" ht="14.25" customHeight="1">
      <c r="D299" s="64"/>
      <c r="E299" s="64"/>
      <c r="F299" s="64"/>
    </row>
    <row r="300" ht="14.25" customHeight="1">
      <c r="D300" s="64"/>
      <c r="E300" s="64"/>
      <c r="F300" s="64"/>
    </row>
    <row r="301" ht="14.25" customHeight="1">
      <c r="D301" s="64"/>
      <c r="E301" s="64"/>
      <c r="F301" s="64"/>
    </row>
    <row r="302" ht="14.25" customHeight="1">
      <c r="D302" s="64"/>
      <c r="E302" s="64"/>
      <c r="F302" s="64"/>
    </row>
    <row r="303" ht="14.25" customHeight="1">
      <c r="D303" s="64"/>
      <c r="E303" s="64"/>
      <c r="F303" s="64"/>
    </row>
    <row r="304" ht="14.25" customHeight="1">
      <c r="D304" s="64"/>
      <c r="E304" s="64"/>
      <c r="F304" s="64"/>
    </row>
    <row r="305" ht="14.25" customHeight="1">
      <c r="D305" s="64"/>
      <c r="E305" s="64"/>
      <c r="F305" s="64"/>
    </row>
    <row r="306" ht="14.25" customHeight="1">
      <c r="D306" s="64"/>
      <c r="E306" s="64"/>
      <c r="F306" s="64"/>
    </row>
    <row r="307" ht="14.25" customHeight="1">
      <c r="D307" s="64"/>
      <c r="E307" s="64"/>
      <c r="F307" s="64"/>
    </row>
    <row r="308" ht="14.25" customHeight="1">
      <c r="D308" s="64"/>
      <c r="E308" s="64"/>
      <c r="F308" s="64"/>
    </row>
    <row r="309" ht="14.25" customHeight="1">
      <c r="D309" s="64"/>
      <c r="E309" s="64"/>
      <c r="F309" s="64"/>
    </row>
    <row r="310" ht="14.25" customHeight="1">
      <c r="D310" s="64"/>
      <c r="E310" s="64"/>
      <c r="F310" s="64"/>
    </row>
    <row r="311" ht="14.25" customHeight="1">
      <c r="D311" s="64"/>
      <c r="E311" s="64"/>
      <c r="F311" s="64"/>
    </row>
    <row r="312" ht="14.25" customHeight="1">
      <c r="D312" s="64"/>
      <c r="E312" s="64"/>
      <c r="F312" s="64"/>
    </row>
    <row r="313" ht="14.25" customHeight="1">
      <c r="D313" s="64"/>
      <c r="E313" s="64"/>
      <c r="F313" s="64"/>
    </row>
    <row r="314" ht="14.25" customHeight="1">
      <c r="D314" s="64"/>
      <c r="E314" s="64"/>
      <c r="F314" s="64"/>
    </row>
    <row r="315" ht="14.25" customHeight="1">
      <c r="D315" s="64"/>
      <c r="E315" s="64"/>
      <c r="F315" s="64"/>
    </row>
    <row r="316" ht="14.25" customHeight="1">
      <c r="D316" s="64"/>
      <c r="E316" s="64"/>
      <c r="F316" s="64"/>
    </row>
    <row r="317" ht="14.25" customHeight="1">
      <c r="D317" s="64"/>
      <c r="E317" s="64"/>
      <c r="F317" s="64"/>
    </row>
    <row r="318" ht="14.25" customHeight="1">
      <c r="D318" s="64"/>
      <c r="E318" s="64"/>
      <c r="F318" s="64"/>
    </row>
    <row r="319" ht="14.25" customHeight="1">
      <c r="D319" s="64"/>
      <c r="E319" s="64"/>
      <c r="F319" s="64"/>
    </row>
    <row r="320" ht="14.25" customHeight="1">
      <c r="D320" s="64"/>
      <c r="E320" s="64"/>
      <c r="F320" s="64"/>
    </row>
    <row r="321" ht="14.25" customHeight="1">
      <c r="D321" s="64"/>
      <c r="E321" s="64"/>
      <c r="F321" s="64"/>
    </row>
    <row r="322" ht="14.25" customHeight="1">
      <c r="D322" s="64"/>
      <c r="E322" s="64"/>
      <c r="F322" s="64"/>
    </row>
    <row r="323" ht="14.25" customHeight="1">
      <c r="D323" s="64"/>
      <c r="E323" s="64"/>
      <c r="F323" s="64"/>
    </row>
    <row r="324" ht="14.25" customHeight="1">
      <c r="D324" s="64"/>
      <c r="E324" s="64"/>
      <c r="F324" s="64"/>
    </row>
    <row r="325" ht="14.25" customHeight="1">
      <c r="D325" s="64"/>
      <c r="E325" s="64"/>
      <c r="F325" s="64"/>
    </row>
    <row r="326" ht="14.25" customHeight="1">
      <c r="D326" s="64"/>
      <c r="E326" s="64"/>
      <c r="F326" s="64"/>
    </row>
    <row r="327" ht="14.25" customHeight="1">
      <c r="D327" s="64"/>
      <c r="E327" s="64"/>
      <c r="F327" s="64"/>
    </row>
    <row r="328" ht="14.25" customHeight="1">
      <c r="D328" s="64"/>
      <c r="E328" s="64"/>
      <c r="F328" s="64"/>
    </row>
    <row r="329" ht="14.25" customHeight="1">
      <c r="D329" s="64"/>
      <c r="E329" s="64"/>
      <c r="F329" s="64"/>
    </row>
    <row r="330" ht="14.25" customHeight="1">
      <c r="D330" s="64"/>
      <c r="E330" s="64"/>
      <c r="F330" s="64"/>
    </row>
    <row r="331" ht="14.25" customHeight="1">
      <c r="D331" s="64"/>
      <c r="E331" s="64"/>
      <c r="F331" s="64"/>
    </row>
    <row r="332" ht="14.25" customHeight="1">
      <c r="D332" s="64"/>
      <c r="E332" s="64"/>
      <c r="F332" s="64"/>
    </row>
    <row r="333" ht="14.25" customHeight="1">
      <c r="D333" s="64"/>
      <c r="E333" s="64"/>
      <c r="F333" s="64"/>
    </row>
    <row r="334" ht="14.25" customHeight="1">
      <c r="D334" s="64"/>
      <c r="E334" s="64"/>
      <c r="F334" s="64"/>
    </row>
    <row r="335" ht="14.25" customHeight="1">
      <c r="D335" s="64"/>
      <c r="E335" s="64"/>
      <c r="F335" s="64"/>
    </row>
    <row r="336" ht="14.25" customHeight="1">
      <c r="D336" s="64"/>
      <c r="E336" s="64"/>
      <c r="F336" s="64"/>
    </row>
    <row r="337" ht="14.25" customHeight="1">
      <c r="D337" s="64"/>
      <c r="E337" s="64"/>
      <c r="F337" s="64"/>
    </row>
    <row r="338" ht="14.25" customHeight="1">
      <c r="D338" s="64"/>
      <c r="E338" s="64"/>
      <c r="F338" s="64"/>
    </row>
    <row r="339" ht="14.25" customHeight="1">
      <c r="D339" s="64"/>
      <c r="E339" s="64"/>
      <c r="F339" s="64"/>
    </row>
    <row r="340" ht="14.25" customHeight="1">
      <c r="D340" s="64"/>
      <c r="E340" s="64"/>
      <c r="F340" s="64"/>
    </row>
    <row r="341" ht="14.25" customHeight="1">
      <c r="D341" s="64"/>
      <c r="E341" s="64"/>
      <c r="F341" s="64"/>
    </row>
    <row r="342" ht="14.25" customHeight="1">
      <c r="D342" s="64"/>
      <c r="E342" s="64"/>
      <c r="F342" s="64"/>
    </row>
    <row r="343" ht="14.25" customHeight="1">
      <c r="D343" s="64"/>
      <c r="E343" s="64"/>
      <c r="F343" s="64"/>
    </row>
    <row r="344" ht="14.25" customHeight="1">
      <c r="D344" s="64"/>
      <c r="E344" s="64"/>
      <c r="F344" s="64"/>
    </row>
    <row r="345" ht="14.25" customHeight="1">
      <c r="D345" s="64"/>
      <c r="E345" s="64"/>
      <c r="F345" s="64"/>
    </row>
    <row r="346" ht="14.25" customHeight="1">
      <c r="D346" s="64"/>
      <c r="E346" s="64"/>
      <c r="F346" s="64"/>
    </row>
    <row r="347" ht="14.25" customHeight="1">
      <c r="D347" s="64"/>
      <c r="E347" s="64"/>
      <c r="F347" s="64"/>
    </row>
    <row r="348" ht="14.25" customHeight="1">
      <c r="D348" s="64"/>
      <c r="E348" s="64"/>
      <c r="F348" s="64"/>
    </row>
    <row r="349" ht="14.25" customHeight="1">
      <c r="D349" s="64"/>
      <c r="E349" s="64"/>
      <c r="F349" s="64"/>
    </row>
    <row r="350" ht="14.25" customHeight="1">
      <c r="D350" s="64"/>
      <c r="E350" s="64"/>
      <c r="F350" s="64"/>
    </row>
    <row r="351" ht="14.25" customHeight="1">
      <c r="D351" s="64"/>
      <c r="E351" s="64"/>
      <c r="F351" s="64"/>
    </row>
    <row r="352" ht="14.25" customHeight="1">
      <c r="D352" s="64"/>
      <c r="E352" s="64"/>
      <c r="F352" s="64"/>
    </row>
    <row r="353" ht="14.25" customHeight="1">
      <c r="D353" s="64"/>
      <c r="E353" s="64"/>
      <c r="F353" s="64"/>
    </row>
    <row r="354" ht="14.25" customHeight="1">
      <c r="D354" s="64"/>
      <c r="E354" s="64"/>
      <c r="F354" s="64"/>
    </row>
    <row r="355" ht="14.25" customHeight="1">
      <c r="D355" s="64"/>
      <c r="E355" s="64"/>
      <c r="F355" s="64"/>
    </row>
    <row r="356" ht="14.25" customHeight="1">
      <c r="D356" s="64"/>
      <c r="E356" s="64"/>
      <c r="F356" s="64"/>
    </row>
    <row r="357" ht="14.25" customHeight="1">
      <c r="D357" s="64"/>
      <c r="E357" s="64"/>
      <c r="F357" s="64"/>
    </row>
    <row r="358" ht="14.25" customHeight="1">
      <c r="D358" s="64"/>
      <c r="E358" s="64"/>
      <c r="F358" s="64"/>
    </row>
    <row r="359" ht="14.25" customHeight="1">
      <c r="D359" s="64"/>
      <c r="E359" s="64"/>
      <c r="F359" s="64"/>
    </row>
    <row r="360" ht="14.25" customHeight="1">
      <c r="D360" s="64"/>
      <c r="E360" s="64"/>
      <c r="F360" s="64"/>
    </row>
    <row r="361" ht="14.25" customHeight="1">
      <c r="D361" s="64"/>
      <c r="E361" s="64"/>
      <c r="F361" s="64"/>
    </row>
    <row r="362" ht="14.25" customHeight="1">
      <c r="D362" s="64"/>
      <c r="E362" s="64"/>
      <c r="F362" s="64"/>
    </row>
    <row r="363" ht="14.25" customHeight="1">
      <c r="D363" s="64"/>
      <c r="E363" s="64"/>
      <c r="F363" s="64"/>
    </row>
    <row r="364" ht="14.25" customHeight="1">
      <c r="D364" s="64"/>
      <c r="E364" s="64"/>
      <c r="F364" s="64"/>
    </row>
    <row r="365" ht="14.25" customHeight="1">
      <c r="D365" s="64"/>
      <c r="E365" s="64"/>
      <c r="F365" s="64"/>
    </row>
    <row r="366" ht="14.25" customHeight="1">
      <c r="D366" s="64"/>
      <c r="E366" s="64"/>
      <c r="F366" s="64"/>
    </row>
    <row r="367" ht="14.25" customHeight="1">
      <c r="D367" s="64"/>
      <c r="E367" s="64"/>
      <c r="F367" s="64"/>
    </row>
    <row r="368" ht="14.25" customHeight="1">
      <c r="D368" s="64"/>
      <c r="E368" s="64"/>
      <c r="F368" s="64"/>
    </row>
    <row r="369" ht="14.25" customHeight="1">
      <c r="D369" s="64"/>
      <c r="E369" s="64"/>
      <c r="F369" s="64"/>
    </row>
    <row r="370" ht="14.25" customHeight="1">
      <c r="D370" s="64"/>
      <c r="E370" s="64"/>
      <c r="F370" s="64"/>
    </row>
    <row r="371" ht="14.25" customHeight="1">
      <c r="D371" s="64"/>
      <c r="E371" s="64"/>
      <c r="F371" s="64"/>
    </row>
    <row r="372" ht="14.25" customHeight="1">
      <c r="D372" s="64"/>
      <c r="E372" s="64"/>
      <c r="F372" s="64"/>
    </row>
    <row r="373" ht="14.25" customHeight="1">
      <c r="D373" s="64"/>
      <c r="E373" s="64"/>
      <c r="F373" s="64"/>
    </row>
    <row r="374" ht="14.25" customHeight="1">
      <c r="D374" s="64"/>
      <c r="E374" s="64"/>
      <c r="F374" s="64"/>
    </row>
    <row r="375" ht="14.25" customHeight="1">
      <c r="D375" s="64"/>
      <c r="E375" s="64"/>
      <c r="F375" s="64"/>
    </row>
    <row r="376" ht="14.25" customHeight="1">
      <c r="D376" s="64"/>
      <c r="E376" s="64"/>
      <c r="F376" s="64"/>
    </row>
    <row r="377" ht="14.25" customHeight="1">
      <c r="D377" s="64"/>
      <c r="E377" s="64"/>
      <c r="F377" s="64"/>
    </row>
    <row r="378" ht="14.25" customHeight="1">
      <c r="D378" s="64"/>
      <c r="E378" s="64"/>
      <c r="F378" s="64"/>
    </row>
    <row r="379" ht="14.25" customHeight="1">
      <c r="D379" s="64"/>
      <c r="E379" s="64"/>
      <c r="F379" s="64"/>
    </row>
    <row r="380" ht="14.25" customHeight="1">
      <c r="D380" s="64"/>
      <c r="E380" s="64"/>
      <c r="F380" s="64"/>
    </row>
    <row r="381" ht="14.25" customHeight="1">
      <c r="D381" s="64"/>
      <c r="E381" s="64"/>
      <c r="F381" s="64"/>
    </row>
    <row r="382" ht="14.25" customHeight="1">
      <c r="D382" s="64"/>
      <c r="E382" s="64"/>
      <c r="F382" s="64"/>
    </row>
    <row r="383" ht="14.25" customHeight="1">
      <c r="D383" s="64"/>
      <c r="E383" s="64"/>
      <c r="F383" s="64"/>
    </row>
    <row r="384" ht="14.25" customHeight="1">
      <c r="D384" s="64"/>
      <c r="E384" s="64"/>
      <c r="F384" s="64"/>
    </row>
    <row r="385" ht="14.25" customHeight="1">
      <c r="D385" s="64"/>
      <c r="E385" s="64"/>
      <c r="F385" s="64"/>
    </row>
    <row r="386" ht="14.25" customHeight="1">
      <c r="D386" s="64"/>
      <c r="E386" s="64"/>
      <c r="F386" s="64"/>
    </row>
    <row r="387" ht="14.25" customHeight="1">
      <c r="D387" s="64"/>
      <c r="E387" s="64"/>
      <c r="F387" s="64"/>
    </row>
    <row r="388" ht="14.25" customHeight="1">
      <c r="D388" s="64"/>
      <c r="E388" s="64"/>
      <c r="F388" s="64"/>
    </row>
    <row r="389" ht="14.25" customHeight="1">
      <c r="D389" s="64"/>
      <c r="E389" s="64"/>
      <c r="F389" s="64"/>
    </row>
    <row r="390" ht="14.25" customHeight="1">
      <c r="D390" s="64"/>
      <c r="E390" s="64"/>
      <c r="F390" s="64"/>
    </row>
    <row r="391" ht="14.25" customHeight="1">
      <c r="D391" s="64"/>
      <c r="E391" s="64"/>
      <c r="F391" s="64"/>
    </row>
    <row r="392" ht="14.25" customHeight="1">
      <c r="D392" s="64"/>
      <c r="E392" s="64"/>
      <c r="F392" s="64"/>
    </row>
    <row r="393" ht="14.25" customHeight="1">
      <c r="D393" s="64"/>
      <c r="E393" s="64"/>
      <c r="F393" s="64"/>
    </row>
    <row r="394" ht="14.25" customHeight="1">
      <c r="D394" s="64"/>
      <c r="E394" s="64"/>
      <c r="F394" s="64"/>
    </row>
    <row r="395" ht="14.25" customHeight="1">
      <c r="D395" s="64"/>
      <c r="E395" s="64"/>
      <c r="F395" s="64"/>
    </row>
    <row r="396" ht="14.25" customHeight="1">
      <c r="D396" s="64"/>
      <c r="E396" s="64"/>
      <c r="F396" s="64"/>
    </row>
    <row r="397" ht="14.25" customHeight="1">
      <c r="D397" s="64"/>
      <c r="E397" s="64"/>
      <c r="F397" s="64"/>
    </row>
    <row r="398" ht="14.25" customHeight="1">
      <c r="D398" s="64"/>
      <c r="E398" s="64"/>
      <c r="F398" s="64"/>
    </row>
    <row r="399" ht="14.25" customHeight="1">
      <c r="D399" s="64"/>
      <c r="E399" s="64"/>
      <c r="F399" s="64"/>
    </row>
    <row r="400" ht="14.25" customHeight="1">
      <c r="D400" s="64"/>
      <c r="E400" s="64"/>
      <c r="F400" s="64"/>
    </row>
    <row r="401" ht="14.25" customHeight="1">
      <c r="D401" s="64"/>
      <c r="E401" s="64"/>
      <c r="F401" s="64"/>
    </row>
    <row r="402" ht="14.25" customHeight="1">
      <c r="D402" s="64"/>
      <c r="E402" s="64"/>
      <c r="F402" s="64"/>
    </row>
    <row r="403" ht="14.25" customHeight="1">
      <c r="D403" s="64"/>
      <c r="E403" s="64"/>
      <c r="F403" s="64"/>
    </row>
    <row r="404" ht="14.25" customHeight="1">
      <c r="D404" s="64"/>
      <c r="E404" s="64"/>
      <c r="F404" s="64"/>
    </row>
    <row r="405" ht="14.25" customHeight="1">
      <c r="D405" s="64"/>
      <c r="E405" s="64"/>
      <c r="F405" s="64"/>
    </row>
    <row r="406" ht="14.25" customHeight="1">
      <c r="D406" s="64"/>
      <c r="E406" s="64"/>
      <c r="F406" s="64"/>
    </row>
    <row r="407" ht="14.25" customHeight="1">
      <c r="D407" s="64"/>
      <c r="E407" s="64"/>
      <c r="F407" s="64"/>
    </row>
    <row r="408" ht="14.25" customHeight="1">
      <c r="D408" s="64"/>
      <c r="E408" s="64"/>
      <c r="F408" s="64"/>
    </row>
    <row r="409" ht="14.25" customHeight="1">
      <c r="D409" s="64"/>
      <c r="E409" s="64"/>
      <c r="F409" s="64"/>
    </row>
    <row r="410" ht="14.25" customHeight="1">
      <c r="D410" s="64"/>
      <c r="E410" s="64"/>
      <c r="F410" s="64"/>
    </row>
    <row r="411" ht="14.25" customHeight="1">
      <c r="D411" s="64"/>
      <c r="E411" s="64"/>
      <c r="F411" s="64"/>
    </row>
    <row r="412" ht="14.25" customHeight="1">
      <c r="D412" s="64"/>
      <c r="E412" s="64"/>
      <c r="F412" s="64"/>
    </row>
    <row r="413" ht="14.25" customHeight="1">
      <c r="D413" s="64"/>
      <c r="E413" s="64"/>
      <c r="F413" s="64"/>
    </row>
    <row r="414" ht="14.25" customHeight="1">
      <c r="D414" s="64"/>
      <c r="E414" s="64"/>
      <c r="F414" s="64"/>
    </row>
    <row r="415" ht="14.25" customHeight="1">
      <c r="D415" s="64"/>
      <c r="E415" s="64"/>
      <c r="F415" s="64"/>
    </row>
    <row r="416" ht="14.25" customHeight="1">
      <c r="D416" s="64"/>
      <c r="E416" s="64"/>
      <c r="F416" s="64"/>
    </row>
    <row r="417" ht="14.25" customHeight="1">
      <c r="D417" s="64"/>
      <c r="E417" s="64"/>
      <c r="F417" s="64"/>
    </row>
    <row r="418" ht="14.25" customHeight="1">
      <c r="D418" s="64"/>
      <c r="E418" s="64"/>
      <c r="F418" s="64"/>
    </row>
    <row r="419" ht="14.25" customHeight="1">
      <c r="D419" s="64"/>
      <c r="E419" s="64"/>
      <c r="F419" s="64"/>
    </row>
    <row r="420" ht="14.25" customHeight="1">
      <c r="D420" s="64"/>
      <c r="E420" s="64"/>
      <c r="F420" s="64"/>
    </row>
    <row r="421" ht="14.25" customHeight="1">
      <c r="D421" s="64"/>
      <c r="E421" s="64"/>
      <c r="F421" s="64"/>
    </row>
    <row r="422" ht="14.25" customHeight="1">
      <c r="D422" s="64"/>
      <c r="E422" s="64"/>
      <c r="F422" s="64"/>
    </row>
    <row r="423" ht="14.25" customHeight="1">
      <c r="D423" s="64"/>
      <c r="E423" s="64"/>
      <c r="F423" s="64"/>
    </row>
    <row r="424" ht="14.25" customHeight="1">
      <c r="D424" s="64"/>
      <c r="E424" s="64"/>
      <c r="F424" s="64"/>
    </row>
    <row r="425" ht="14.25" customHeight="1">
      <c r="D425" s="64"/>
      <c r="E425" s="64"/>
      <c r="F425" s="64"/>
    </row>
    <row r="426" ht="14.25" customHeight="1">
      <c r="D426" s="64"/>
      <c r="E426" s="64"/>
      <c r="F426" s="64"/>
    </row>
    <row r="427" ht="14.25" customHeight="1">
      <c r="D427" s="64"/>
      <c r="E427" s="64"/>
      <c r="F427" s="64"/>
    </row>
    <row r="428" ht="14.25" customHeight="1">
      <c r="D428" s="64"/>
      <c r="E428" s="64"/>
      <c r="F428" s="64"/>
    </row>
    <row r="429" ht="14.25" customHeight="1">
      <c r="D429" s="64"/>
      <c r="E429" s="64"/>
      <c r="F429" s="64"/>
    </row>
    <row r="430" ht="14.25" customHeight="1">
      <c r="D430" s="64"/>
      <c r="E430" s="64"/>
      <c r="F430" s="64"/>
    </row>
    <row r="431" ht="14.25" customHeight="1">
      <c r="D431" s="64"/>
      <c r="E431" s="64"/>
      <c r="F431" s="64"/>
    </row>
    <row r="432" ht="14.25" customHeight="1">
      <c r="D432" s="64"/>
      <c r="E432" s="64"/>
      <c r="F432" s="64"/>
    </row>
    <row r="433" ht="14.25" customHeight="1">
      <c r="D433" s="64"/>
      <c r="E433" s="64"/>
      <c r="F433" s="64"/>
    </row>
    <row r="434" ht="14.25" customHeight="1">
      <c r="D434" s="64"/>
      <c r="E434" s="64"/>
      <c r="F434" s="64"/>
    </row>
    <row r="435" ht="14.25" customHeight="1">
      <c r="D435" s="64"/>
      <c r="E435" s="64"/>
      <c r="F435" s="64"/>
    </row>
    <row r="436" ht="14.25" customHeight="1">
      <c r="D436" s="64"/>
      <c r="E436" s="64"/>
      <c r="F436" s="64"/>
    </row>
    <row r="437" ht="14.25" customHeight="1">
      <c r="D437" s="64"/>
      <c r="E437" s="64"/>
      <c r="F437" s="64"/>
    </row>
    <row r="438" ht="14.25" customHeight="1">
      <c r="D438" s="64"/>
      <c r="E438" s="64"/>
      <c r="F438" s="64"/>
    </row>
    <row r="439" ht="14.25" customHeight="1">
      <c r="D439" s="64"/>
      <c r="E439" s="64"/>
      <c r="F439" s="64"/>
    </row>
    <row r="440" ht="14.25" customHeight="1">
      <c r="D440" s="64"/>
      <c r="E440" s="64"/>
      <c r="F440" s="64"/>
    </row>
    <row r="441" ht="14.25" customHeight="1">
      <c r="D441" s="64"/>
      <c r="E441" s="64"/>
      <c r="F441" s="64"/>
    </row>
    <row r="442" ht="14.25" customHeight="1">
      <c r="D442" s="64"/>
      <c r="E442" s="64"/>
      <c r="F442" s="64"/>
    </row>
    <row r="443" ht="14.25" customHeight="1">
      <c r="D443" s="64"/>
      <c r="E443" s="64"/>
      <c r="F443" s="64"/>
    </row>
    <row r="444" ht="14.25" customHeight="1">
      <c r="D444" s="64"/>
      <c r="E444" s="64"/>
      <c r="F444" s="64"/>
    </row>
    <row r="445" ht="14.25" customHeight="1">
      <c r="D445" s="64"/>
      <c r="E445" s="64"/>
      <c r="F445" s="64"/>
    </row>
    <row r="446" ht="14.25" customHeight="1">
      <c r="D446" s="64"/>
      <c r="E446" s="64"/>
      <c r="F446" s="64"/>
    </row>
    <row r="447" ht="14.25" customHeight="1">
      <c r="D447" s="64"/>
      <c r="E447" s="64"/>
      <c r="F447" s="64"/>
    </row>
    <row r="448" ht="14.25" customHeight="1">
      <c r="D448" s="64"/>
      <c r="E448" s="64"/>
      <c r="F448" s="64"/>
    </row>
    <row r="449" ht="14.25" customHeight="1">
      <c r="D449" s="64"/>
      <c r="E449" s="64"/>
      <c r="F449" s="64"/>
    </row>
    <row r="450" ht="14.25" customHeight="1">
      <c r="D450" s="64"/>
      <c r="E450" s="64"/>
      <c r="F450" s="64"/>
    </row>
    <row r="451" ht="14.25" customHeight="1">
      <c r="D451" s="64"/>
      <c r="E451" s="64"/>
      <c r="F451" s="64"/>
    </row>
    <row r="452" ht="14.25" customHeight="1">
      <c r="D452" s="64"/>
      <c r="E452" s="64"/>
      <c r="F452" s="64"/>
    </row>
    <row r="453" ht="14.25" customHeight="1">
      <c r="D453" s="64"/>
      <c r="E453" s="64"/>
      <c r="F453" s="64"/>
    </row>
    <row r="454" ht="14.25" customHeight="1">
      <c r="D454" s="64"/>
      <c r="E454" s="64"/>
      <c r="F454" s="64"/>
    </row>
    <row r="455" ht="14.25" customHeight="1">
      <c r="D455" s="64"/>
      <c r="E455" s="64"/>
      <c r="F455" s="64"/>
    </row>
    <row r="456" ht="14.25" customHeight="1">
      <c r="D456" s="64"/>
      <c r="E456" s="64"/>
      <c r="F456" s="64"/>
    </row>
    <row r="457" ht="14.25" customHeight="1">
      <c r="D457" s="64"/>
      <c r="E457" s="64"/>
      <c r="F457" s="64"/>
    </row>
    <row r="458" ht="14.25" customHeight="1">
      <c r="D458" s="64"/>
      <c r="E458" s="64"/>
      <c r="F458" s="64"/>
    </row>
    <row r="459" ht="14.25" customHeight="1">
      <c r="D459" s="64"/>
      <c r="E459" s="64"/>
      <c r="F459" s="64"/>
    </row>
    <row r="460" ht="14.25" customHeight="1">
      <c r="D460" s="64"/>
      <c r="E460" s="64"/>
      <c r="F460" s="64"/>
    </row>
    <row r="461" ht="14.25" customHeight="1">
      <c r="D461" s="64"/>
      <c r="E461" s="64"/>
      <c r="F461" s="64"/>
    </row>
    <row r="462" ht="14.25" customHeight="1">
      <c r="D462" s="64"/>
      <c r="E462" s="64"/>
      <c r="F462" s="64"/>
    </row>
    <row r="463" ht="14.25" customHeight="1">
      <c r="D463" s="64"/>
      <c r="E463" s="64"/>
      <c r="F463" s="64"/>
    </row>
    <row r="464" ht="14.25" customHeight="1">
      <c r="D464" s="64"/>
      <c r="E464" s="64"/>
      <c r="F464" s="64"/>
    </row>
    <row r="465" ht="14.25" customHeight="1">
      <c r="D465" s="64"/>
      <c r="E465" s="64"/>
      <c r="F465" s="64"/>
    </row>
    <row r="466" ht="14.25" customHeight="1">
      <c r="D466" s="64"/>
      <c r="E466" s="64"/>
      <c r="F466" s="64"/>
    </row>
    <row r="467" ht="14.25" customHeight="1">
      <c r="D467" s="64"/>
      <c r="E467" s="64"/>
      <c r="F467" s="64"/>
    </row>
    <row r="468" ht="14.25" customHeight="1">
      <c r="D468" s="64"/>
      <c r="E468" s="64"/>
      <c r="F468" s="64"/>
    </row>
    <row r="469" ht="14.25" customHeight="1">
      <c r="D469" s="64"/>
      <c r="E469" s="64"/>
      <c r="F469" s="64"/>
    </row>
    <row r="470" ht="14.25" customHeight="1">
      <c r="D470" s="64"/>
      <c r="E470" s="64"/>
      <c r="F470" s="64"/>
    </row>
    <row r="471" ht="14.25" customHeight="1">
      <c r="D471" s="64"/>
      <c r="E471" s="64"/>
      <c r="F471" s="64"/>
    </row>
    <row r="472" ht="14.25" customHeight="1">
      <c r="D472" s="64"/>
      <c r="E472" s="64"/>
      <c r="F472" s="64"/>
    </row>
    <row r="473" ht="14.25" customHeight="1">
      <c r="D473" s="64"/>
      <c r="E473" s="64"/>
      <c r="F473" s="64"/>
    </row>
    <row r="474" ht="14.25" customHeight="1">
      <c r="D474" s="64"/>
      <c r="E474" s="64"/>
      <c r="F474" s="64"/>
    </row>
    <row r="475" ht="14.25" customHeight="1">
      <c r="D475" s="64"/>
      <c r="E475" s="64"/>
      <c r="F475" s="64"/>
    </row>
    <row r="476" ht="14.25" customHeight="1">
      <c r="D476" s="64"/>
      <c r="E476" s="64"/>
      <c r="F476" s="64"/>
    </row>
    <row r="477" ht="14.25" customHeight="1">
      <c r="D477" s="64"/>
      <c r="E477" s="64"/>
      <c r="F477" s="64"/>
    </row>
    <row r="478" ht="14.25" customHeight="1">
      <c r="D478" s="64"/>
      <c r="E478" s="64"/>
      <c r="F478" s="64"/>
    </row>
    <row r="479" ht="14.25" customHeight="1">
      <c r="D479" s="64"/>
      <c r="E479" s="64"/>
      <c r="F479" s="64"/>
    </row>
    <row r="480" ht="14.25" customHeight="1">
      <c r="D480" s="64"/>
      <c r="E480" s="64"/>
      <c r="F480" s="64"/>
    </row>
    <row r="481" ht="14.25" customHeight="1">
      <c r="D481" s="64"/>
      <c r="E481" s="64"/>
      <c r="F481" s="64"/>
    </row>
    <row r="482" ht="14.25" customHeight="1">
      <c r="D482" s="64"/>
      <c r="E482" s="64"/>
      <c r="F482" s="64"/>
    </row>
    <row r="483" ht="14.25" customHeight="1">
      <c r="D483" s="64"/>
      <c r="E483" s="64"/>
      <c r="F483" s="64"/>
    </row>
    <row r="484" ht="14.25" customHeight="1">
      <c r="D484" s="64"/>
      <c r="E484" s="64"/>
      <c r="F484" s="64"/>
    </row>
    <row r="485" ht="14.25" customHeight="1">
      <c r="D485" s="64"/>
      <c r="E485" s="64"/>
      <c r="F485" s="64"/>
    </row>
    <row r="486" ht="14.25" customHeight="1">
      <c r="D486" s="64"/>
      <c r="E486" s="64"/>
      <c r="F486" s="64"/>
    </row>
    <row r="487" ht="14.25" customHeight="1">
      <c r="D487" s="64"/>
      <c r="E487" s="64"/>
      <c r="F487" s="64"/>
    </row>
    <row r="488" ht="14.25" customHeight="1">
      <c r="D488" s="64"/>
      <c r="E488" s="64"/>
      <c r="F488" s="64"/>
    </row>
    <row r="489" ht="14.25" customHeight="1">
      <c r="D489" s="64"/>
      <c r="E489" s="64"/>
      <c r="F489" s="64"/>
    </row>
    <row r="490" ht="14.25" customHeight="1">
      <c r="D490" s="64"/>
      <c r="E490" s="64"/>
      <c r="F490" s="64"/>
    </row>
    <row r="491" ht="14.25" customHeight="1">
      <c r="D491" s="64"/>
      <c r="E491" s="64"/>
      <c r="F491" s="64"/>
    </row>
    <row r="492" ht="14.25" customHeight="1">
      <c r="D492" s="64"/>
      <c r="E492" s="64"/>
      <c r="F492" s="64"/>
    </row>
    <row r="493" ht="14.25" customHeight="1">
      <c r="D493" s="64"/>
      <c r="E493" s="64"/>
      <c r="F493" s="64"/>
    </row>
    <row r="494" ht="14.25" customHeight="1">
      <c r="D494" s="64"/>
      <c r="E494" s="64"/>
      <c r="F494" s="64"/>
    </row>
    <row r="495" ht="14.25" customHeight="1">
      <c r="D495" s="64"/>
      <c r="E495" s="64"/>
      <c r="F495" s="64"/>
    </row>
    <row r="496" ht="14.25" customHeight="1">
      <c r="D496" s="64"/>
      <c r="E496" s="64"/>
      <c r="F496" s="64"/>
    </row>
    <row r="497" ht="14.25" customHeight="1">
      <c r="D497" s="64"/>
      <c r="E497" s="64"/>
      <c r="F497" s="64"/>
    </row>
    <row r="498" ht="14.25" customHeight="1">
      <c r="D498" s="64"/>
      <c r="E498" s="64"/>
      <c r="F498" s="64"/>
    </row>
    <row r="499" ht="14.25" customHeight="1">
      <c r="D499" s="64"/>
      <c r="E499" s="64"/>
      <c r="F499" s="64"/>
    </row>
    <row r="500" ht="14.25" customHeight="1">
      <c r="D500" s="64"/>
      <c r="E500" s="64"/>
      <c r="F500" s="64"/>
    </row>
    <row r="501" ht="14.25" customHeight="1">
      <c r="D501" s="64"/>
      <c r="E501" s="64"/>
      <c r="F501" s="64"/>
    </row>
    <row r="502" ht="14.25" customHeight="1">
      <c r="D502" s="64"/>
      <c r="E502" s="64"/>
      <c r="F502" s="64"/>
    </row>
    <row r="503" ht="14.25" customHeight="1">
      <c r="D503" s="64"/>
      <c r="E503" s="64"/>
      <c r="F503" s="64"/>
    </row>
    <row r="504" ht="14.25" customHeight="1">
      <c r="D504" s="64"/>
      <c r="E504" s="64"/>
      <c r="F504" s="64"/>
    </row>
    <row r="505" ht="14.25" customHeight="1">
      <c r="D505" s="64"/>
      <c r="E505" s="64"/>
      <c r="F505" s="64"/>
    </row>
    <row r="506" ht="14.25" customHeight="1">
      <c r="D506" s="64"/>
      <c r="E506" s="64"/>
      <c r="F506" s="64"/>
    </row>
    <row r="507" ht="14.25" customHeight="1">
      <c r="D507" s="64"/>
      <c r="E507" s="64"/>
      <c r="F507" s="64"/>
    </row>
    <row r="508" ht="14.25" customHeight="1">
      <c r="D508" s="64"/>
      <c r="E508" s="64"/>
      <c r="F508" s="64"/>
    </row>
    <row r="509" ht="14.25" customHeight="1">
      <c r="D509" s="64"/>
      <c r="E509" s="64"/>
      <c r="F509" s="64"/>
    </row>
    <row r="510" ht="14.25" customHeight="1">
      <c r="D510" s="64"/>
      <c r="E510" s="64"/>
      <c r="F510" s="64"/>
    </row>
    <row r="511" ht="14.25" customHeight="1">
      <c r="D511" s="64"/>
      <c r="E511" s="64"/>
      <c r="F511" s="64"/>
    </row>
    <row r="512" ht="14.25" customHeight="1">
      <c r="D512" s="64"/>
      <c r="E512" s="64"/>
      <c r="F512" s="64"/>
    </row>
    <row r="513" ht="14.25" customHeight="1">
      <c r="D513" s="64"/>
      <c r="E513" s="64"/>
      <c r="F513" s="64"/>
    </row>
    <row r="514" ht="14.25" customHeight="1">
      <c r="D514" s="64"/>
      <c r="E514" s="64"/>
      <c r="F514" s="64"/>
    </row>
    <row r="515" ht="14.25" customHeight="1">
      <c r="D515" s="64"/>
      <c r="E515" s="64"/>
      <c r="F515" s="64"/>
    </row>
    <row r="516" ht="14.25" customHeight="1">
      <c r="D516" s="64"/>
      <c r="E516" s="64"/>
      <c r="F516" s="64"/>
    </row>
    <row r="517" ht="14.25" customHeight="1">
      <c r="D517" s="64"/>
      <c r="E517" s="64"/>
      <c r="F517" s="64"/>
    </row>
    <row r="518" ht="14.25" customHeight="1">
      <c r="D518" s="64"/>
      <c r="E518" s="64"/>
      <c r="F518" s="64"/>
    </row>
    <row r="519" ht="14.25" customHeight="1">
      <c r="D519" s="64"/>
      <c r="E519" s="64"/>
      <c r="F519" s="64"/>
    </row>
    <row r="520" ht="14.25" customHeight="1">
      <c r="D520" s="64"/>
      <c r="E520" s="64"/>
      <c r="F520" s="64"/>
    </row>
    <row r="521" ht="14.25" customHeight="1">
      <c r="D521" s="64"/>
      <c r="E521" s="64"/>
      <c r="F521" s="64"/>
    </row>
    <row r="522" ht="14.25" customHeight="1">
      <c r="D522" s="64"/>
      <c r="E522" s="64"/>
      <c r="F522" s="64"/>
    </row>
    <row r="523" ht="14.25" customHeight="1">
      <c r="D523" s="64"/>
      <c r="E523" s="64"/>
      <c r="F523" s="64"/>
    </row>
    <row r="524" ht="14.25" customHeight="1">
      <c r="D524" s="64"/>
      <c r="E524" s="64"/>
      <c r="F524" s="64"/>
    </row>
    <row r="525" ht="14.25" customHeight="1">
      <c r="D525" s="64"/>
      <c r="E525" s="64"/>
      <c r="F525" s="64"/>
    </row>
    <row r="526" ht="14.25" customHeight="1">
      <c r="D526" s="64"/>
      <c r="E526" s="64"/>
      <c r="F526" s="64"/>
    </row>
    <row r="527" ht="14.25" customHeight="1">
      <c r="D527" s="64"/>
      <c r="E527" s="64"/>
      <c r="F527" s="64"/>
    </row>
    <row r="528" ht="14.25" customHeight="1">
      <c r="D528" s="64"/>
      <c r="E528" s="64"/>
      <c r="F528" s="64"/>
    </row>
    <row r="529" ht="14.25" customHeight="1">
      <c r="D529" s="64"/>
      <c r="E529" s="64"/>
      <c r="F529" s="64"/>
    </row>
    <row r="530" ht="14.25" customHeight="1">
      <c r="D530" s="64"/>
      <c r="E530" s="64"/>
      <c r="F530" s="64"/>
    </row>
    <row r="531" ht="14.25" customHeight="1">
      <c r="D531" s="64"/>
      <c r="E531" s="64"/>
      <c r="F531" s="64"/>
    </row>
    <row r="532" ht="14.25" customHeight="1">
      <c r="D532" s="64"/>
      <c r="E532" s="64"/>
      <c r="F532" s="64"/>
    </row>
    <row r="533" ht="14.25" customHeight="1">
      <c r="D533" s="64"/>
      <c r="E533" s="64"/>
      <c r="F533" s="64"/>
    </row>
    <row r="534" ht="14.25" customHeight="1">
      <c r="D534" s="64"/>
      <c r="E534" s="64"/>
      <c r="F534" s="64"/>
    </row>
    <row r="535" ht="14.25" customHeight="1">
      <c r="D535" s="64"/>
      <c r="E535" s="64"/>
      <c r="F535" s="64"/>
    </row>
    <row r="536" ht="14.25" customHeight="1">
      <c r="D536" s="64"/>
      <c r="E536" s="64"/>
      <c r="F536" s="64"/>
    </row>
    <row r="537" ht="14.25" customHeight="1">
      <c r="D537" s="64"/>
      <c r="E537" s="64"/>
      <c r="F537" s="64"/>
    </row>
    <row r="538" ht="14.25" customHeight="1">
      <c r="D538" s="64"/>
      <c r="E538" s="64"/>
      <c r="F538" s="64"/>
    </row>
    <row r="539" ht="14.25" customHeight="1">
      <c r="D539" s="64"/>
      <c r="E539" s="64"/>
      <c r="F539" s="64"/>
    </row>
    <row r="540" ht="14.25" customHeight="1">
      <c r="D540" s="64"/>
      <c r="E540" s="64"/>
      <c r="F540" s="64"/>
    </row>
    <row r="541" ht="14.25" customHeight="1">
      <c r="D541" s="64"/>
      <c r="E541" s="64"/>
      <c r="F541" s="64"/>
    </row>
    <row r="542" ht="14.25" customHeight="1">
      <c r="D542" s="64"/>
      <c r="E542" s="64"/>
      <c r="F542" s="64"/>
    </row>
    <row r="543" ht="14.25" customHeight="1">
      <c r="D543" s="64"/>
      <c r="E543" s="64"/>
      <c r="F543" s="64"/>
    </row>
    <row r="544" ht="14.25" customHeight="1">
      <c r="D544" s="64"/>
      <c r="E544" s="64"/>
      <c r="F544" s="64"/>
    </row>
    <row r="545" ht="14.25" customHeight="1">
      <c r="D545" s="64"/>
      <c r="E545" s="64"/>
      <c r="F545" s="64"/>
    </row>
    <row r="546" ht="14.25" customHeight="1">
      <c r="D546" s="64"/>
      <c r="E546" s="64"/>
      <c r="F546" s="64"/>
    </row>
    <row r="547" ht="14.25" customHeight="1">
      <c r="D547" s="64"/>
      <c r="E547" s="64"/>
      <c r="F547" s="64"/>
    </row>
    <row r="548" ht="14.25" customHeight="1">
      <c r="D548" s="64"/>
      <c r="E548" s="64"/>
      <c r="F548" s="64"/>
    </row>
    <row r="549" ht="14.25" customHeight="1">
      <c r="D549" s="64"/>
      <c r="E549" s="64"/>
      <c r="F549" s="64"/>
    </row>
    <row r="550" ht="14.25" customHeight="1">
      <c r="D550" s="64"/>
      <c r="E550" s="64"/>
      <c r="F550" s="64"/>
    </row>
    <row r="551" ht="14.25" customHeight="1">
      <c r="D551" s="64"/>
      <c r="E551" s="64"/>
      <c r="F551" s="64"/>
    </row>
    <row r="552" ht="14.25" customHeight="1">
      <c r="D552" s="64"/>
      <c r="E552" s="64"/>
      <c r="F552" s="64"/>
    </row>
    <row r="553" ht="14.25" customHeight="1">
      <c r="D553" s="64"/>
      <c r="E553" s="64"/>
      <c r="F553" s="64"/>
    </row>
    <row r="554" ht="14.25" customHeight="1">
      <c r="D554" s="64"/>
      <c r="E554" s="64"/>
      <c r="F554" s="64"/>
    </row>
    <row r="555" ht="14.25" customHeight="1">
      <c r="D555" s="64"/>
      <c r="E555" s="64"/>
      <c r="F555" s="64"/>
    </row>
    <row r="556" ht="14.25" customHeight="1">
      <c r="D556" s="64"/>
      <c r="E556" s="64"/>
      <c r="F556" s="64"/>
    </row>
    <row r="557" ht="14.25" customHeight="1">
      <c r="D557" s="64"/>
      <c r="E557" s="64"/>
      <c r="F557" s="64"/>
    </row>
    <row r="558" ht="14.25" customHeight="1">
      <c r="D558" s="64"/>
      <c r="E558" s="64"/>
      <c r="F558" s="64"/>
    </row>
    <row r="559" ht="14.25" customHeight="1">
      <c r="D559" s="64"/>
      <c r="E559" s="64"/>
      <c r="F559" s="64"/>
    </row>
    <row r="560" ht="14.25" customHeight="1">
      <c r="D560" s="64"/>
      <c r="E560" s="64"/>
      <c r="F560" s="64"/>
    </row>
    <row r="561" ht="14.25" customHeight="1">
      <c r="D561" s="64"/>
      <c r="E561" s="64"/>
      <c r="F561" s="64"/>
    </row>
    <row r="562" ht="14.25" customHeight="1">
      <c r="D562" s="64"/>
      <c r="E562" s="64"/>
      <c r="F562" s="64"/>
    </row>
    <row r="563" ht="14.25" customHeight="1">
      <c r="D563" s="64"/>
      <c r="E563" s="64"/>
      <c r="F563" s="64"/>
    </row>
    <row r="564" ht="14.25" customHeight="1">
      <c r="D564" s="64"/>
      <c r="E564" s="64"/>
      <c r="F564" s="64"/>
    </row>
    <row r="565" ht="14.25" customHeight="1">
      <c r="D565" s="64"/>
      <c r="E565" s="64"/>
      <c r="F565" s="64"/>
    </row>
    <row r="566" ht="14.25" customHeight="1">
      <c r="D566" s="64"/>
      <c r="E566" s="64"/>
      <c r="F566" s="64"/>
    </row>
    <row r="567" ht="14.25" customHeight="1">
      <c r="D567" s="64"/>
      <c r="E567" s="64"/>
      <c r="F567" s="64"/>
    </row>
    <row r="568" ht="14.25" customHeight="1">
      <c r="D568" s="64"/>
      <c r="E568" s="64"/>
      <c r="F568" s="64"/>
    </row>
    <row r="569" ht="14.25" customHeight="1">
      <c r="D569" s="64"/>
      <c r="E569" s="64"/>
      <c r="F569" s="64"/>
    </row>
    <row r="570" ht="14.25" customHeight="1">
      <c r="D570" s="64"/>
      <c r="E570" s="64"/>
      <c r="F570" s="64"/>
    </row>
    <row r="571" ht="14.25" customHeight="1">
      <c r="D571" s="64"/>
      <c r="E571" s="64"/>
      <c r="F571" s="64"/>
    </row>
    <row r="572" ht="14.25" customHeight="1">
      <c r="D572" s="64"/>
      <c r="E572" s="64"/>
      <c r="F572" s="64"/>
    </row>
    <row r="573" ht="14.25" customHeight="1">
      <c r="D573" s="64"/>
      <c r="E573" s="64"/>
      <c r="F573" s="64"/>
    </row>
    <row r="574" ht="14.25" customHeight="1">
      <c r="D574" s="64"/>
      <c r="E574" s="64"/>
      <c r="F574" s="64"/>
    </row>
    <row r="575" ht="14.25" customHeight="1">
      <c r="D575" s="64"/>
      <c r="E575" s="64"/>
      <c r="F575" s="64"/>
    </row>
    <row r="576" ht="14.25" customHeight="1">
      <c r="D576" s="64"/>
      <c r="E576" s="64"/>
      <c r="F576" s="64"/>
    </row>
    <row r="577" ht="14.25" customHeight="1">
      <c r="D577" s="64"/>
      <c r="E577" s="64"/>
      <c r="F577" s="64"/>
    </row>
    <row r="578" ht="14.25" customHeight="1">
      <c r="D578" s="64"/>
      <c r="E578" s="64"/>
      <c r="F578" s="64"/>
    </row>
    <row r="579" ht="14.25" customHeight="1">
      <c r="D579" s="64"/>
      <c r="E579" s="64"/>
      <c r="F579" s="64"/>
    </row>
    <row r="580" ht="14.25" customHeight="1">
      <c r="D580" s="64"/>
      <c r="E580" s="64"/>
      <c r="F580" s="64"/>
    </row>
    <row r="581" ht="14.25" customHeight="1">
      <c r="D581" s="64"/>
      <c r="E581" s="64"/>
      <c r="F581" s="64"/>
    </row>
    <row r="582" ht="14.25" customHeight="1">
      <c r="D582" s="64"/>
      <c r="E582" s="64"/>
      <c r="F582" s="64"/>
    </row>
    <row r="583" ht="14.25" customHeight="1">
      <c r="D583" s="64"/>
      <c r="E583" s="64"/>
      <c r="F583" s="64"/>
    </row>
    <row r="584" ht="14.25" customHeight="1">
      <c r="D584" s="64"/>
      <c r="E584" s="64"/>
      <c r="F584" s="64"/>
    </row>
    <row r="585" ht="14.25" customHeight="1">
      <c r="D585" s="64"/>
      <c r="E585" s="64"/>
      <c r="F585" s="64"/>
    </row>
    <row r="586" ht="14.25" customHeight="1">
      <c r="D586" s="64"/>
      <c r="E586" s="64"/>
      <c r="F586" s="64"/>
    </row>
    <row r="587" ht="14.25" customHeight="1">
      <c r="D587" s="64"/>
      <c r="E587" s="64"/>
      <c r="F587" s="64"/>
    </row>
    <row r="588" ht="14.25" customHeight="1">
      <c r="D588" s="64"/>
      <c r="E588" s="64"/>
      <c r="F588" s="64"/>
    </row>
    <row r="589" ht="14.25" customHeight="1">
      <c r="D589" s="64"/>
      <c r="E589" s="64"/>
      <c r="F589" s="64"/>
    </row>
    <row r="590" ht="14.25" customHeight="1">
      <c r="D590" s="64"/>
      <c r="E590" s="64"/>
      <c r="F590" s="64"/>
    </row>
    <row r="591" ht="14.25" customHeight="1">
      <c r="D591" s="64"/>
      <c r="E591" s="64"/>
      <c r="F591" s="64"/>
    </row>
    <row r="592" ht="14.25" customHeight="1">
      <c r="D592" s="64"/>
      <c r="E592" s="64"/>
      <c r="F592" s="64"/>
    </row>
    <row r="593" ht="14.25" customHeight="1">
      <c r="D593" s="64"/>
      <c r="E593" s="64"/>
      <c r="F593" s="64"/>
    </row>
    <row r="594" ht="14.25" customHeight="1">
      <c r="D594" s="64"/>
      <c r="E594" s="64"/>
      <c r="F594" s="64"/>
    </row>
    <row r="595" ht="14.25" customHeight="1">
      <c r="D595" s="64"/>
      <c r="E595" s="64"/>
      <c r="F595" s="64"/>
    </row>
    <row r="596" ht="14.25" customHeight="1">
      <c r="D596" s="64"/>
      <c r="E596" s="64"/>
      <c r="F596" s="64"/>
    </row>
    <row r="597" ht="14.25" customHeight="1">
      <c r="D597" s="64"/>
      <c r="E597" s="64"/>
      <c r="F597" s="64"/>
    </row>
    <row r="598" ht="14.25" customHeight="1">
      <c r="D598" s="64"/>
      <c r="E598" s="64"/>
      <c r="F598" s="64"/>
    </row>
    <row r="599" ht="14.25" customHeight="1">
      <c r="D599" s="64"/>
      <c r="E599" s="64"/>
      <c r="F599" s="64"/>
    </row>
    <row r="600" ht="14.25" customHeight="1">
      <c r="D600" s="64"/>
      <c r="E600" s="64"/>
      <c r="F600" s="64"/>
    </row>
    <row r="601" ht="14.25" customHeight="1">
      <c r="D601" s="64"/>
      <c r="E601" s="64"/>
      <c r="F601" s="64"/>
    </row>
    <row r="602" ht="14.25" customHeight="1">
      <c r="D602" s="64"/>
      <c r="E602" s="64"/>
      <c r="F602" s="64"/>
    </row>
    <row r="603" ht="14.25" customHeight="1">
      <c r="D603" s="64"/>
      <c r="E603" s="64"/>
      <c r="F603" s="64"/>
    </row>
    <row r="604" ht="14.25" customHeight="1">
      <c r="D604" s="64"/>
      <c r="E604" s="64"/>
      <c r="F604" s="64"/>
    </row>
    <row r="605" ht="14.25" customHeight="1">
      <c r="D605" s="64"/>
      <c r="E605" s="64"/>
      <c r="F605" s="64"/>
    </row>
    <row r="606" ht="14.25" customHeight="1">
      <c r="D606" s="64"/>
      <c r="E606" s="64"/>
      <c r="F606" s="64"/>
    </row>
    <row r="607" ht="14.25" customHeight="1">
      <c r="D607" s="64"/>
      <c r="E607" s="64"/>
      <c r="F607" s="64"/>
    </row>
    <row r="608" ht="14.25" customHeight="1">
      <c r="D608" s="64"/>
      <c r="E608" s="64"/>
      <c r="F608" s="64"/>
    </row>
    <row r="609" ht="14.25" customHeight="1">
      <c r="D609" s="64"/>
      <c r="E609" s="64"/>
      <c r="F609" s="64"/>
    </row>
    <row r="610" ht="14.25" customHeight="1">
      <c r="D610" s="64"/>
      <c r="E610" s="64"/>
      <c r="F610" s="64"/>
    </row>
    <row r="611" ht="14.25" customHeight="1">
      <c r="D611" s="64"/>
      <c r="E611" s="64"/>
      <c r="F611" s="64"/>
    </row>
    <row r="612" ht="14.25" customHeight="1">
      <c r="D612" s="64"/>
      <c r="E612" s="64"/>
      <c r="F612" s="64"/>
    </row>
    <row r="613" ht="14.25" customHeight="1">
      <c r="D613" s="64"/>
      <c r="E613" s="64"/>
      <c r="F613" s="64"/>
    </row>
    <row r="614" ht="14.25" customHeight="1">
      <c r="D614" s="64"/>
      <c r="E614" s="64"/>
      <c r="F614" s="64"/>
    </row>
    <row r="615" ht="14.25" customHeight="1">
      <c r="D615" s="64"/>
      <c r="E615" s="64"/>
      <c r="F615" s="64"/>
    </row>
    <row r="616" ht="14.25" customHeight="1">
      <c r="D616" s="64"/>
      <c r="E616" s="64"/>
      <c r="F616" s="64"/>
    </row>
    <row r="617" ht="14.25" customHeight="1">
      <c r="D617" s="64"/>
      <c r="E617" s="64"/>
      <c r="F617" s="64"/>
    </row>
    <row r="618" ht="14.25" customHeight="1">
      <c r="D618" s="64"/>
      <c r="E618" s="64"/>
      <c r="F618" s="64"/>
    </row>
    <row r="619" ht="14.25" customHeight="1">
      <c r="D619" s="64"/>
      <c r="E619" s="64"/>
      <c r="F619" s="64"/>
    </row>
    <row r="620" ht="14.25" customHeight="1">
      <c r="D620" s="64"/>
      <c r="E620" s="64"/>
      <c r="F620" s="64"/>
    </row>
    <row r="621" ht="14.25" customHeight="1">
      <c r="D621" s="64"/>
      <c r="E621" s="64"/>
      <c r="F621" s="64"/>
    </row>
    <row r="622" ht="14.25" customHeight="1">
      <c r="D622" s="64"/>
      <c r="E622" s="64"/>
      <c r="F622" s="64"/>
    </row>
    <row r="623" ht="14.25" customHeight="1">
      <c r="D623" s="64"/>
      <c r="E623" s="64"/>
      <c r="F623" s="64"/>
    </row>
    <row r="624" ht="14.25" customHeight="1">
      <c r="D624" s="64"/>
      <c r="E624" s="64"/>
      <c r="F624" s="64"/>
    </row>
    <row r="625" ht="14.25" customHeight="1">
      <c r="D625" s="64"/>
      <c r="E625" s="64"/>
      <c r="F625" s="64"/>
    </row>
    <row r="626" ht="14.25" customHeight="1">
      <c r="D626" s="64"/>
      <c r="E626" s="64"/>
      <c r="F626" s="64"/>
    </row>
    <row r="627" ht="14.25" customHeight="1">
      <c r="D627" s="64"/>
      <c r="E627" s="64"/>
      <c r="F627" s="64"/>
    </row>
    <row r="628" ht="14.25" customHeight="1">
      <c r="D628" s="64"/>
      <c r="E628" s="64"/>
      <c r="F628" s="64"/>
    </row>
    <row r="629" ht="14.25" customHeight="1">
      <c r="D629" s="64"/>
      <c r="E629" s="64"/>
      <c r="F629" s="64"/>
    </row>
    <row r="630" ht="14.25" customHeight="1">
      <c r="D630" s="64"/>
      <c r="E630" s="64"/>
      <c r="F630" s="64"/>
    </row>
    <row r="631" ht="14.25" customHeight="1">
      <c r="D631" s="64"/>
      <c r="E631" s="64"/>
      <c r="F631" s="64"/>
    </row>
    <row r="632" ht="14.25" customHeight="1">
      <c r="D632" s="64"/>
      <c r="E632" s="64"/>
      <c r="F632" s="64"/>
    </row>
    <row r="633" ht="14.25" customHeight="1">
      <c r="D633" s="64"/>
      <c r="E633" s="64"/>
      <c r="F633" s="64"/>
    </row>
    <row r="634" ht="14.25" customHeight="1">
      <c r="D634" s="64"/>
      <c r="E634" s="64"/>
      <c r="F634" s="64"/>
    </row>
    <row r="635" ht="14.25" customHeight="1">
      <c r="D635" s="64"/>
      <c r="E635" s="64"/>
      <c r="F635" s="64"/>
    </row>
    <row r="636" ht="14.25" customHeight="1">
      <c r="D636" s="64"/>
      <c r="E636" s="64"/>
      <c r="F636" s="64"/>
    </row>
    <row r="637" ht="14.25" customHeight="1">
      <c r="D637" s="64"/>
      <c r="E637" s="64"/>
      <c r="F637" s="64"/>
    </row>
    <row r="638" ht="14.25" customHeight="1">
      <c r="D638" s="64"/>
      <c r="E638" s="64"/>
      <c r="F638" s="64"/>
    </row>
    <row r="639" ht="14.25" customHeight="1">
      <c r="D639" s="64"/>
      <c r="E639" s="64"/>
      <c r="F639" s="64"/>
    </row>
    <row r="640" ht="14.25" customHeight="1">
      <c r="D640" s="64"/>
      <c r="E640" s="64"/>
      <c r="F640" s="64"/>
    </row>
    <row r="641" ht="14.25" customHeight="1">
      <c r="D641" s="64"/>
      <c r="E641" s="64"/>
      <c r="F641" s="64"/>
    </row>
    <row r="642" ht="14.25" customHeight="1">
      <c r="D642" s="64"/>
      <c r="E642" s="64"/>
      <c r="F642" s="64"/>
    </row>
    <row r="643" ht="14.25" customHeight="1">
      <c r="D643" s="64"/>
      <c r="E643" s="64"/>
      <c r="F643" s="64"/>
    </row>
    <row r="644" ht="14.25" customHeight="1">
      <c r="D644" s="64"/>
      <c r="E644" s="64"/>
      <c r="F644" s="64"/>
    </row>
    <row r="645" ht="14.25" customHeight="1">
      <c r="D645" s="64"/>
      <c r="E645" s="64"/>
      <c r="F645" s="64"/>
    </row>
    <row r="646" ht="14.25" customHeight="1">
      <c r="D646" s="64"/>
      <c r="E646" s="64"/>
      <c r="F646" s="64"/>
    </row>
    <row r="647" ht="14.25" customHeight="1">
      <c r="D647" s="64"/>
      <c r="E647" s="64"/>
      <c r="F647" s="64"/>
    </row>
    <row r="648" ht="14.25" customHeight="1">
      <c r="D648" s="64"/>
      <c r="E648" s="64"/>
      <c r="F648" s="64"/>
    </row>
    <row r="649" ht="14.25" customHeight="1">
      <c r="D649" s="64"/>
      <c r="E649" s="64"/>
      <c r="F649" s="64"/>
    </row>
    <row r="650" ht="14.25" customHeight="1">
      <c r="D650" s="64"/>
      <c r="E650" s="64"/>
      <c r="F650" s="64"/>
    </row>
    <row r="651" ht="14.25" customHeight="1">
      <c r="D651" s="64"/>
      <c r="E651" s="64"/>
      <c r="F651" s="64"/>
    </row>
    <row r="652" ht="14.25" customHeight="1">
      <c r="D652" s="64"/>
      <c r="E652" s="64"/>
      <c r="F652" s="64"/>
    </row>
    <row r="653" ht="14.25" customHeight="1">
      <c r="D653" s="64"/>
      <c r="E653" s="64"/>
      <c r="F653" s="64"/>
    </row>
    <row r="654" ht="14.25" customHeight="1">
      <c r="D654" s="64"/>
      <c r="E654" s="64"/>
      <c r="F654" s="64"/>
    </row>
    <row r="655" ht="14.25" customHeight="1">
      <c r="D655" s="64"/>
      <c r="E655" s="64"/>
      <c r="F655" s="64"/>
    </row>
    <row r="656" ht="14.25" customHeight="1">
      <c r="D656" s="64"/>
      <c r="E656" s="64"/>
      <c r="F656" s="64"/>
    </row>
    <row r="657" ht="14.25" customHeight="1">
      <c r="D657" s="64"/>
      <c r="E657" s="64"/>
      <c r="F657" s="64"/>
    </row>
    <row r="658" ht="14.25" customHeight="1">
      <c r="D658" s="64"/>
      <c r="E658" s="64"/>
      <c r="F658" s="64"/>
    </row>
    <row r="659" ht="14.25" customHeight="1">
      <c r="D659" s="64"/>
      <c r="E659" s="64"/>
      <c r="F659" s="64"/>
    </row>
    <row r="660" ht="14.25" customHeight="1">
      <c r="D660" s="64"/>
      <c r="E660" s="64"/>
      <c r="F660" s="64"/>
    </row>
    <row r="661" ht="14.25" customHeight="1">
      <c r="D661" s="64"/>
      <c r="E661" s="64"/>
      <c r="F661" s="64"/>
    </row>
    <row r="662" ht="14.25" customHeight="1">
      <c r="D662" s="64"/>
      <c r="E662" s="64"/>
      <c r="F662" s="64"/>
    </row>
    <row r="663" ht="14.25" customHeight="1">
      <c r="D663" s="64"/>
      <c r="E663" s="64"/>
      <c r="F663" s="64"/>
    </row>
    <row r="664" ht="14.25" customHeight="1">
      <c r="D664" s="64"/>
      <c r="E664" s="64"/>
      <c r="F664" s="64"/>
    </row>
    <row r="665" ht="14.25" customHeight="1">
      <c r="D665" s="64"/>
      <c r="E665" s="64"/>
      <c r="F665" s="64"/>
    </row>
    <row r="666" ht="14.25" customHeight="1">
      <c r="D666" s="64"/>
      <c r="E666" s="64"/>
      <c r="F666" s="64"/>
    </row>
    <row r="667" ht="14.25" customHeight="1">
      <c r="D667" s="64"/>
      <c r="E667" s="64"/>
      <c r="F667" s="64"/>
    </row>
    <row r="668" ht="14.25" customHeight="1">
      <c r="D668" s="64"/>
      <c r="E668" s="64"/>
      <c r="F668" s="64"/>
    </row>
    <row r="669" ht="14.25" customHeight="1">
      <c r="D669" s="64"/>
      <c r="E669" s="64"/>
      <c r="F669" s="64"/>
    </row>
    <row r="670" ht="14.25" customHeight="1">
      <c r="D670" s="64"/>
      <c r="E670" s="64"/>
      <c r="F670" s="64"/>
    </row>
    <row r="671" ht="14.25" customHeight="1">
      <c r="D671" s="64"/>
      <c r="E671" s="64"/>
      <c r="F671" s="64"/>
    </row>
    <row r="672" ht="14.25" customHeight="1">
      <c r="D672" s="64"/>
      <c r="E672" s="64"/>
      <c r="F672" s="64"/>
    </row>
    <row r="673" ht="14.25" customHeight="1">
      <c r="D673" s="64"/>
      <c r="E673" s="64"/>
      <c r="F673" s="64"/>
    </row>
    <row r="674" ht="14.25" customHeight="1">
      <c r="D674" s="64"/>
      <c r="E674" s="64"/>
      <c r="F674" s="64"/>
    </row>
    <row r="675" ht="14.25" customHeight="1">
      <c r="D675" s="64"/>
      <c r="E675" s="64"/>
      <c r="F675" s="64"/>
    </row>
    <row r="676" ht="14.25" customHeight="1">
      <c r="D676" s="64"/>
      <c r="E676" s="64"/>
      <c r="F676" s="64"/>
    </row>
    <row r="677" ht="14.25" customHeight="1">
      <c r="D677" s="64"/>
      <c r="E677" s="64"/>
      <c r="F677" s="64"/>
    </row>
    <row r="678" ht="14.25" customHeight="1">
      <c r="D678" s="64"/>
      <c r="E678" s="64"/>
      <c r="F678" s="64"/>
    </row>
    <row r="679" ht="14.25" customHeight="1">
      <c r="D679" s="64"/>
      <c r="E679" s="64"/>
      <c r="F679" s="64"/>
    </row>
    <row r="680" ht="14.25" customHeight="1">
      <c r="D680" s="64"/>
      <c r="E680" s="64"/>
      <c r="F680" s="64"/>
    </row>
    <row r="681" ht="14.25" customHeight="1">
      <c r="D681" s="64"/>
      <c r="E681" s="64"/>
      <c r="F681" s="64"/>
    </row>
    <row r="682" ht="14.25" customHeight="1">
      <c r="D682" s="64"/>
      <c r="E682" s="64"/>
      <c r="F682" s="64"/>
    </row>
    <row r="683" ht="14.25" customHeight="1">
      <c r="D683" s="64"/>
      <c r="E683" s="64"/>
      <c r="F683" s="64"/>
    </row>
    <row r="684" ht="14.25" customHeight="1">
      <c r="D684" s="64"/>
      <c r="E684" s="64"/>
      <c r="F684" s="64"/>
    </row>
    <row r="685" ht="14.25" customHeight="1">
      <c r="D685" s="64"/>
      <c r="E685" s="64"/>
      <c r="F685" s="64"/>
    </row>
    <row r="686" ht="14.25" customHeight="1">
      <c r="D686" s="64"/>
      <c r="E686" s="64"/>
      <c r="F686" s="64"/>
    </row>
    <row r="687" ht="14.25" customHeight="1">
      <c r="D687" s="64"/>
      <c r="E687" s="64"/>
      <c r="F687" s="64"/>
    </row>
    <row r="688" ht="14.25" customHeight="1">
      <c r="D688" s="64"/>
      <c r="E688" s="64"/>
      <c r="F688" s="64"/>
    </row>
    <row r="689" ht="14.25" customHeight="1">
      <c r="D689" s="64"/>
      <c r="E689" s="64"/>
      <c r="F689" s="64"/>
    </row>
    <row r="690" ht="14.25" customHeight="1">
      <c r="D690" s="64"/>
      <c r="E690" s="64"/>
      <c r="F690" s="64"/>
    </row>
    <row r="691" ht="14.25" customHeight="1">
      <c r="D691" s="64"/>
      <c r="E691" s="64"/>
      <c r="F691" s="64"/>
    </row>
    <row r="692" ht="14.25" customHeight="1">
      <c r="D692" s="64"/>
      <c r="E692" s="64"/>
      <c r="F692" s="64"/>
    </row>
    <row r="693" ht="14.25" customHeight="1">
      <c r="D693" s="64"/>
      <c r="E693" s="64"/>
      <c r="F693" s="64"/>
    </row>
    <row r="694" ht="14.25" customHeight="1">
      <c r="D694" s="64"/>
      <c r="E694" s="64"/>
      <c r="F694" s="64"/>
    </row>
    <row r="695" ht="14.25" customHeight="1">
      <c r="D695" s="64"/>
      <c r="E695" s="64"/>
      <c r="F695" s="64"/>
    </row>
    <row r="696" ht="14.25" customHeight="1">
      <c r="D696" s="64"/>
      <c r="E696" s="64"/>
      <c r="F696" s="64"/>
    </row>
    <row r="697" ht="14.25" customHeight="1">
      <c r="D697" s="64"/>
      <c r="E697" s="64"/>
      <c r="F697" s="64"/>
    </row>
    <row r="698" ht="14.25" customHeight="1">
      <c r="D698" s="64"/>
      <c r="E698" s="64"/>
      <c r="F698" s="64"/>
    </row>
    <row r="699" ht="14.25" customHeight="1">
      <c r="D699" s="64"/>
      <c r="E699" s="64"/>
      <c r="F699" s="64"/>
    </row>
    <row r="700" ht="14.25" customHeight="1">
      <c r="D700" s="64"/>
      <c r="E700" s="64"/>
      <c r="F700" s="64"/>
    </row>
    <row r="701" ht="14.25" customHeight="1">
      <c r="D701" s="64"/>
      <c r="E701" s="64"/>
      <c r="F701" s="64"/>
    </row>
    <row r="702" ht="14.25" customHeight="1">
      <c r="D702" s="64"/>
      <c r="E702" s="64"/>
      <c r="F702" s="64"/>
    </row>
    <row r="703" ht="14.25" customHeight="1">
      <c r="D703" s="64"/>
      <c r="E703" s="64"/>
      <c r="F703" s="64"/>
    </row>
    <row r="704" ht="14.25" customHeight="1">
      <c r="D704" s="64"/>
      <c r="E704" s="64"/>
      <c r="F704" s="64"/>
    </row>
    <row r="705" ht="14.25" customHeight="1">
      <c r="D705" s="64"/>
      <c r="E705" s="64"/>
      <c r="F705" s="64"/>
    </row>
    <row r="706" ht="14.25" customHeight="1">
      <c r="D706" s="64"/>
      <c r="E706" s="64"/>
      <c r="F706" s="64"/>
    </row>
    <row r="707" ht="14.25" customHeight="1">
      <c r="D707" s="64"/>
      <c r="E707" s="64"/>
      <c r="F707" s="64"/>
    </row>
    <row r="708" ht="14.25" customHeight="1">
      <c r="D708" s="64"/>
      <c r="E708" s="64"/>
      <c r="F708" s="64"/>
    </row>
    <row r="709" ht="14.25" customHeight="1">
      <c r="D709" s="64"/>
      <c r="E709" s="64"/>
      <c r="F709" s="64"/>
    </row>
    <row r="710" ht="14.25" customHeight="1">
      <c r="D710" s="64"/>
      <c r="E710" s="64"/>
      <c r="F710" s="64"/>
    </row>
    <row r="711" ht="14.25" customHeight="1">
      <c r="D711" s="64"/>
      <c r="E711" s="64"/>
      <c r="F711" s="64"/>
    </row>
    <row r="712" ht="14.25" customHeight="1">
      <c r="D712" s="64"/>
      <c r="E712" s="64"/>
      <c r="F712" s="64"/>
    </row>
    <row r="713" ht="14.25" customHeight="1">
      <c r="D713" s="64"/>
      <c r="E713" s="64"/>
      <c r="F713" s="64"/>
    </row>
    <row r="714" ht="14.25" customHeight="1">
      <c r="D714" s="64"/>
      <c r="E714" s="64"/>
      <c r="F714" s="64"/>
    </row>
    <row r="715" ht="14.25" customHeight="1">
      <c r="D715" s="64"/>
      <c r="E715" s="64"/>
      <c r="F715" s="64"/>
    </row>
    <row r="716" ht="14.25" customHeight="1">
      <c r="D716" s="64"/>
      <c r="E716" s="64"/>
      <c r="F716" s="64"/>
    </row>
    <row r="717" ht="14.25" customHeight="1">
      <c r="D717" s="64"/>
      <c r="E717" s="64"/>
      <c r="F717" s="64"/>
    </row>
    <row r="718" ht="14.25" customHeight="1">
      <c r="D718" s="64"/>
      <c r="E718" s="64"/>
      <c r="F718" s="64"/>
    </row>
    <row r="719" ht="14.25" customHeight="1">
      <c r="D719" s="64"/>
      <c r="E719" s="64"/>
      <c r="F719" s="64"/>
    </row>
    <row r="720" ht="14.25" customHeight="1">
      <c r="D720" s="64"/>
      <c r="E720" s="64"/>
      <c r="F720" s="64"/>
    </row>
    <row r="721" ht="14.25" customHeight="1">
      <c r="D721" s="64"/>
      <c r="E721" s="64"/>
      <c r="F721" s="64"/>
    </row>
    <row r="722" ht="14.25" customHeight="1">
      <c r="D722" s="64"/>
      <c r="E722" s="64"/>
      <c r="F722" s="64"/>
    </row>
    <row r="723" ht="14.25" customHeight="1">
      <c r="D723" s="64"/>
      <c r="E723" s="64"/>
      <c r="F723" s="64"/>
    </row>
    <row r="724" ht="14.25" customHeight="1">
      <c r="D724" s="64"/>
      <c r="E724" s="64"/>
      <c r="F724" s="64"/>
    </row>
    <row r="725" ht="14.25" customHeight="1">
      <c r="D725" s="64"/>
      <c r="E725" s="64"/>
      <c r="F725" s="64"/>
    </row>
    <row r="726" ht="14.25" customHeight="1">
      <c r="D726" s="64"/>
      <c r="E726" s="64"/>
      <c r="F726" s="64"/>
    </row>
    <row r="727" ht="14.25" customHeight="1">
      <c r="D727" s="64"/>
      <c r="E727" s="64"/>
      <c r="F727" s="64"/>
    </row>
    <row r="728" ht="14.25" customHeight="1">
      <c r="D728" s="64"/>
      <c r="E728" s="64"/>
      <c r="F728" s="64"/>
    </row>
    <row r="729" ht="14.25" customHeight="1">
      <c r="D729" s="64"/>
      <c r="E729" s="64"/>
      <c r="F729" s="64"/>
    </row>
    <row r="730" ht="14.25" customHeight="1">
      <c r="D730" s="64"/>
      <c r="E730" s="64"/>
      <c r="F730" s="64"/>
    </row>
    <row r="731" ht="14.25" customHeight="1">
      <c r="D731" s="64"/>
      <c r="E731" s="64"/>
      <c r="F731" s="64"/>
    </row>
    <row r="732" ht="14.25" customHeight="1">
      <c r="D732" s="64"/>
      <c r="E732" s="64"/>
      <c r="F732" s="64"/>
    </row>
    <row r="733" ht="14.25" customHeight="1">
      <c r="D733" s="64"/>
      <c r="E733" s="64"/>
      <c r="F733" s="64"/>
    </row>
    <row r="734" ht="14.25" customHeight="1">
      <c r="D734" s="64"/>
      <c r="E734" s="64"/>
      <c r="F734" s="64"/>
    </row>
    <row r="735" ht="14.25" customHeight="1">
      <c r="D735" s="64"/>
      <c r="E735" s="64"/>
      <c r="F735" s="64"/>
    </row>
    <row r="736" ht="14.25" customHeight="1">
      <c r="D736" s="64"/>
      <c r="E736" s="64"/>
      <c r="F736" s="64"/>
    </row>
    <row r="737" ht="14.25" customHeight="1">
      <c r="D737" s="64"/>
      <c r="E737" s="64"/>
      <c r="F737" s="64"/>
    </row>
    <row r="738" ht="14.25" customHeight="1">
      <c r="D738" s="64"/>
      <c r="E738" s="64"/>
      <c r="F738" s="64"/>
    </row>
    <row r="739" ht="14.25" customHeight="1">
      <c r="D739" s="64"/>
      <c r="E739" s="64"/>
      <c r="F739" s="64"/>
    </row>
    <row r="740" ht="14.25" customHeight="1">
      <c r="D740" s="64"/>
      <c r="E740" s="64"/>
      <c r="F740" s="64"/>
    </row>
    <row r="741" ht="14.25" customHeight="1">
      <c r="D741" s="64"/>
      <c r="E741" s="64"/>
      <c r="F741" s="64"/>
    </row>
    <row r="742" ht="14.25" customHeight="1">
      <c r="D742" s="64"/>
      <c r="E742" s="64"/>
      <c r="F742" s="64"/>
    </row>
    <row r="743" ht="14.25" customHeight="1">
      <c r="D743" s="64"/>
      <c r="E743" s="64"/>
      <c r="F743" s="64"/>
    </row>
    <row r="744" ht="14.25" customHeight="1">
      <c r="D744" s="64"/>
      <c r="E744" s="64"/>
      <c r="F744" s="64"/>
    </row>
    <row r="745" ht="14.25" customHeight="1">
      <c r="D745" s="64"/>
      <c r="E745" s="64"/>
      <c r="F745" s="64"/>
    </row>
    <row r="746" ht="14.25" customHeight="1">
      <c r="D746" s="64"/>
      <c r="E746" s="64"/>
      <c r="F746" s="64"/>
    </row>
    <row r="747" ht="14.25" customHeight="1">
      <c r="D747" s="64"/>
      <c r="E747" s="64"/>
      <c r="F747" s="64"/>
    </row>
    <row r="748" ht="14.25" customHeight="1">
      <c r="D748" s="64"/>
      <c r="E748" s="64"/>
      <c r="F748" s="64"/>
    </row>
    <row r="749" ht="14.25" customHeight="1">
      <c r="D749" s="64"/>
      <c r="E749" s="64"/>
      <c r="F749" s="64"/>
    </row>
    <row r="750" ht="14.25" customHeight="1">
      <c r="D750" s="64"/>
      <c r="E750" s="64"/>
      <c r="F750" s="64"/>
    </row>
    <row r="751" ht="14.25" customHeight="1">
      <c r="D751" s="64"/>
      <c r="E751" s="64"/>
      <c r="F751" s="64"/>
    </row>
    <row r="752" ht="14.25" customHeight="1">
      <c r="D752" s="64"/>
      <c r="E752" s="64"/>
      <c r="F752" s="64"/>
    </row>
    <row r="753" ht="14.25" customHeight="1">
      <c r="D753" s="64"/>
      <c r="E753" s="64"/>
      <c r="F753" s="64"/>
    </row>
    <row r="754" ht="14.25" customHeight="1">
      <c r="D754" s="64"/>
      <c r="E754" s="64"/>
      <c r="F754" s="64"/>
    </row>
    <row r="755" ht="14.25" customHeight="1">
      <c r="D755" s="64"/>
      <c r="E755" s="64"/>
      <c r="F755" s="64"/>
    </row>
    <row r="756" ht="14.25" customHeight="1">
      <c r="D756" s="64"/>
      <c r="E756" s="64"/>
      <c r="F756" s="64"/>
    </row>
    <row r="757" ht="14.25" customHeight="1">
      <c r="D757" s="64"/>
      <c r="E757" s="64"/>
      <c r="F757" s="64"/>
    </row>
    <row r="758" ht="14.25" customHeight="1">
      <c r="D758" s="64"/>
      <c r="E758" s="64"/>
      <c r="F758" s="64"/>
    </row>
    <row r="759" ht="14.25" customHeight="1">
      <c r="D759" s="64"/>
      <c r="E759" s="64"/>
      <c r="F759" s="64"/>
    </row>
    <row r="760" ht="14.25" customHeight="1">
      <c r="D760" s="64"/>
      <c r="E760" s="64"/>
      <c r="F760" s="64"/>
    </row>
    <row r="761" ht="14.25" customHeight="1">
      <c r="D761" s="64"/>
      <c r="E761" s="64"/>
      <c r="F761" s="64"/>
    </row>
    <row r="762" ht="14.25" customHeight="1">
      <c r="D762" s="64"/>
      <c r="E762" s="64"/>
      <c r="F762" s="64"/>
    </row>
    <row r="763" ht="14.25" customHeight="1">
      <c r="D763" s="64"/>
      <c r="E763" s="64"/>
      <c r="F763" s="64"/>
    </row>
    <row r="764" ht="14.25" customHeight="1">
      <c r="D764" s="64"/>
      <c r="E764" s="64"/>
      <c r="F764" s="64"/>
    </row>
    <row r="765" ht="14.25" customHeight="1">
      <c r="D765" s="64"/>
      <c r="E765" s="64"/>
      <c r="F765" s="64"/>
    </row>
    <row r="766" ht="14.25" customHeight="1">
      <c r="D766" s="64"/>
      <c r="E766" s="64"/>
      <c r="F766" s="64"/>
    </row>
    <row r="767" ht="14.25" customHeight="1">
      <c r="D767" s="64"/>
      <c r="E767" s="64"/>
      <c r="F767" s="64"/>
    </row>
    <row r="768" ht="14.25" customHeight="1">
      <c r="D768" s="64"/>
      <c r="E768" s="64"/>
      <c r="F768" s="64"/>
    </row>
    <row r="769" ht="14.25" customHeight="1">
      <c r="D769" s="64"/>
      <c r="E769" s="64"/>
      <c r="F769" s="64"/>
    </row>
    <row r="770" ht="14.25" customHeight="1">
      <c r="D770" s="64"/>
      <c r="E770" s="64"/>
      <c r="F770" s="64"/>
    </row>
    <row r="771" ht="14.25" customHeight="1">
      <c r="D771" s="64"/>
      <c r="E771" s="64"/>
      <c r="F771" s="64"/>
    </row>
    <row r="772" ht="14.25" customHeight="1">
      <c r="D772" s="64"/>
      <c r="E772" s="64"/>
      <c r="F772" s="64"/>
    </row>
    <row r="773" ht="14.25" customHeight="1">
      <c r="D773" s="64"/>
      <c r="E773" s="64"/>
      <c r="F773" s="64"/>
    </row>
    <row r="774" ht="14.25" customHeight="1">
      <c r="D774" s="64"/>
      <c r="E774" s="64"/>
      <c r="F774" s="64"/>
    </row>
    <row r="775" ht="14.25" customHeight="1">
      <c r="D775" s="64"/>
      <c r="E775" s="64"/>
      <c r="F775" s="64"/>
    </row>
    <row r="776" ht="14.25" customHeight="1">
      <c r="D776" s="64"/>
      <c r="E776" s="64"/>
      <c r="F776" s="64"/>
    </row>
    <row r="777" ht="14.25" customHeight="1">
      <c r="D777" s="64"/>
      <c r="E777" s="64"/>
      <c r="F777" s="64"/>
    </row>
    <row r="778" ht="14.25" customHeight="1">
      <c r="D778" s="64"/>
      <c r="E778" s="64"/>
      <c r="F778" s="64"/>
    </row>
    <row r="779" ht="14.25" customHeight="1">
      <c r="D779" s="64"/>
      <c r="E779" s="64"/>
      <c r="F779" s="64"/>
    </row>
    <row r="780" ht="14.25" customHeight="1">
      <c r="D780" s="64"/>
      <c r="E780" s="64"/>
      <c r="F780" s="64"/>
    </row>
    <row r="781" ht="14.25" customHeight="1">
      <c r="D781" s="64"/>
      <c r="E781" s="64"/>
      <c r="F781" s="64"/>
    </row>
    <row r="782" ht="14.25" customHeight="1">
      <c r="D782" s="64"/>
      <c r="E782" s="64"/>
      <c r="F782" s="64"/>
    </row>
    <row r="783" ht="14.25" customHeight="1">
      <c r="D783" s="64"/>
      <c r="E783" s="64"/>
      <c r="F783" s="64"/>
    </row>
    <row r="784" ht="14.25" customHeight="1">
      <c r="D784" s="64"/>
      <c r="E784" s="64"/>
      <c r="F784" s="64"/>
    </row>
    <row r="785" ht="14.25" customHeight="1">
      <c r="D785" s="64"/>
      <c r="E785" s="64"/>
      <c r="F785" s="64"/>
    </row>
    <row r="786" ht="14.25" customHeight="1">
      <c r="D786" s="64"/>
      <c r="E786" s="64"/>
      <c r="F786" s="64"/>
    </row>
    <row r="787" ht="14.25" customHeight="1">
      <c r="D787" s="64"/>
      <c r="E787" s="64"/>
      <c r="F787" s="64"/>
    </row>
    <row r="788" ht="14.25" customHeight="1">
      <c r="D788" s="64"/>
      <c r="E788" s="64"/>
      <c r="F788" s="64"/>
    </row>
    <row r="789" ht="14.25" customHeight="1">
      <c r="D789" s="64"/>
      <c r="E789" s="64"/>
      <c r="F789" s="64"/>
    </row>
    <row r="790" ht="14.25" customHeight="1">
      <c r="D790" s="64"/>
      <c r="E790" s="64"/>
      <c r="F790" s="64"/>
    </row>
    <row r="791" ht="14.25" customHeight="1">
      <c r="D791" s="64"/>
      <c r="E791" s="64"/>
      <c r="F791" s="64"/>
    </row>
    <row r="792" ht="14.25" customHeight="1">
      <c r="D792" s="64"/>
      <c r="E792" s="64"/>
      <c r="F792" s="64"/>
    </row>
    <row r="793" ht="14.25" customHeight="1">
      <c r="D793" s="64"/>
      <c r="E793" s="64"/>
      <c r="F793" s="64"/>
    </row>
    <row r="794" ht="14.25" customHeight="1">
      <c r="D794" s="64"/>
      <c r="E794" s="64"/>
      <c r="F794" s="64"/>
    </row>
    <row r="795" ht="14.25" customHeight="1">
      <c r="D795" s="64"/>
      <c r="E795" s="64"/>
      <c r="F795" s="64"/>
    </row>
    <row r="796" ht="14.25" customHeight="1">
      <c r="D796" s="64"/>
      <c r="E796" s="64"/>
      <c r="F796" s="64"/>
    </row>
    <row r="797" ht="14.25" customHeight="1">
      <c r="D797" s="64"/>
      <c r="E797" s="64"/>
      <c r="F797" s="64"/>
    </row>
    <row r="798" ht="14.25" customHeight="1">
      <c r="D798" s="64"/>
      <c r="E798" s="64"/>
      <c r="F798" s="64"/>
    </row>
    <row r="799" ht="14.25" customHeight="1">
      <c r="D799" s="64"/>
      <c r="E799" s="64"/>
      <c r="F799" s="64"/>
    </row>
    <row r="800" ht="14.25" customHeight="1">
      <c r="D800" s="64"/>
      <c r="E800" s="64"/>
      <c r="F800" s="64"/>
    </row>
    <row r="801" ht="14.25" customHeight="1">
      <c r="D801" s="64"/>
      <c r="E801" s="64"/>
      <c r="F801" s="64"/>
    </row>
    <row r="802" ht="14.25" customHeight="1">
      <c r="D802" s="64"/>
      <c r="E802" s="64"/>
      <c r="F802" s="64"/>
    </row>
    <row r="803" ht="14.25" customHeight="1">
      <c r="D803" s="64"/>
      <c r="E803" s="64"/>
      <c r="F803" s="64"/>
    </row>
    <row r="804" ht="14.25" customHeight="1">
      <c r="D804" s="64"/>
      <c r="E804" s="64"/>
      <c r="F804" s="64"/>
    </row>
    <row r="805" ht="14.25" customHeight="1">
      <c r="D805" s="64"/>
      <c r="E805" s="64"/>
      <c r="F805" s="64"/>
    </row>
    <row r="806" ht="14.25" customHeight="1">
      <c r="D806" s="64"/>
      <c r="E806" s="64"/>
      <c r="F806" s="64"/>
    </row>
    <row r="807" ht="14.25" customHeight="1">
      <c r="D807" s="64"/>
      <c r="E807" s="64"/>
      <c r="F807" s="64"/>
    </row>
    <row r="808" ht="14.25" customHeight="1">
      <c r="D808" s="64"/>
      <c r="E808" s="64"/>
      <c r="F808" s="64"/>
    </row>
    <row r="809" ht="14.25" customHeight="1">
      <c r="D809" s="64"/>
      <c r="E809" s="64"/>
      <c r="F809" s="64"/>
    </row>
    <row r="810" ht="14.25" customHeight="1">
      <c r="D810" s="64"/>
      <c r="E810" s="64"/>
      <c r="F810" s="64"/>
    </row>
    <row r="811" ht="14.25" customHeight="1">
      <c r="D811" s="64"/>
      <c r="E811" s="64"/>
      <c r="F811" s="64"/>
    </row>
    <row r="812" ht="14.25" customHeight="1">
      <c r="D812" s="64"/>
      <c r="E812" s="64"/>
      <c r="F812" s="64"/>
    </row>
    <row r="813" ht="14.25" customHeight="1">
      <c r="D813" s="64"/>
      <c r="E813" s="64"/>
      <c r="F813" s="64"/>
    </row>
    <row r="814" ht="14.25" customHeight="1">
      <c r="D814" s="64"/>
      <c r="E814" s="64"/>
      <c r="F814" s="64"/>
    </row>
    <row r="815" ht="14.25" customHeight="1">
      <c r="D815" s="64"/>
      <c r="E815" s="64"/>
      <c r="F815" s="64"/>
    </row>
    <row r="816" ht="14.25" customHeight="1">
      <c r="D816" s="64"/>
      <c r="E816" s="64"/>
      <c r="F816" s="64"/>
    </row>
    <row r="817" ht="14.25" customHeight="1">
      <c r="D817" s="64"/>
      <c r="E817" s="64"/>
      <c r="F817" s="64"/>
    </row>
    <row r="818" ht="14.25" customHeight="1">
      <c r="D818" s="64"/>
      <c r="E818" s="64"/>
      <c r="F818" s="64"/>
    </row>
    <row r="819" ht="14.25" customHeight="1">
      <c r="D819" s="64"/>
      <c r="E819" s="64"/>
      <c r="F819" s="64"/>
    </row>
    <row r="820" ht="14.25" customHeight="1">
      <c r="D820" s="64"/>
      <c r="E820" s="64"/>
      <c r="F820" s="64"/>
    </row>
    <row r="821" ht="14.25" customHeight="1">
      <c r="D821" s="64"/>
      <c r="E821" s="64"/>
      <c r="F821" s="64"/>
    </row>
    <row r="822" ht="14.25" customHeight="1">
      <c r="D822" s="64"/>
      <c r="E822" s="64"/>
      <c r="F822" s="64"/>
    </row>
    <row r="823" ht="14.25" customHeight="1">
      <c r="D823" s="64"/>
      <c r="E823" s="64"/>
      <c r="F823" s="64"/>
    </row>
    <row r="824" ht="14.25" customHeight="1">
      <c r="D824" s="64"/>
      <c r="E824" s="64"/>
      <c r="F824" s="64"/>
    </row>
    <row r="825" ht="14.25" customHeight="1">
      <c r="D825" s="64"/>
      <c r="E825" s="64"/>
      <c r="F825" s="64"/>
    </row>
    <row r="826" ht="14.25" customHeight="1">
      <c r="D826" s="64"/>
      <c r="E826" s="64"/>
      <c r="F826" s="64"/>
    </row>
    <row r="827" ht="14.25" customHeight="1">
      <c r="D827" s="64"/>
      <c r="E827" s="64"/>
      <c r="F827" s="64"/>
    </row>
    <row r="828" ht="14.25" customHeight="1">
      <c r="D828" s="64"/>
      <c r="E828" s="64"/>
      <c r="F828" s="64"/>
    </row>
    <row r="829" ht="14.25" customHeight="1">
      <c r="D829" s="64"/>
      <c r="E829" s="64"/>
      <c r="F829" s="64"/>
    </row>
    <row r="830" ht="14.25" customHeight="1">
      <c r="D830" s="64"/>
      <c r="E830" s="64"/>
      <c r="F830" s="64"/>
    </row>
    <row r="831" ht="14.25" customHeight="1">
      <c r="D831" s="64"/>
      <c r="E831" s="64"/>
      <c r="F831" s="64"/>
    </row>
    <row r="832" ht="14.25" customHeight="1">
      <c r="D832" s="64"/>
      <c r="E832" s="64"/>
      <c r="F832" s="64"/>
    </row>
    <row r="833" ht="14.25" customHeight="1">
      <c r="D833" s="64"/>
      <c r="E833" s="64"/>
      <c r="F833" s="64"/>
    </row>
    <row r="834" ht="14.25" customHeight="1">
      <c r="D834" s="64"/>
      <c r="E834" s="64"/>
      <c r="F834" s="64"/>
    </row>
    <row r="835" ht="14.25" customHeight="1">
      <c r="D835" s="64"/>
      <c r="E835" s="64"/>
      <c r="F835" s="64"/>
    </row>
    <row r="836" ht="14.25" customHeight="1">
      <c r="D836" s="64"/>
      <c r="E836" s="64"/>
      <c r="F836" s="64"/>
    </row>
    <row r="837" ht="14.25" customHeight="1">
      <c r="D837" s="64"/>
      <c r="E837" s="64"/>
      <c r="F837" s="64"/>
    </row>
    <row r="838" ht="14.25" customHeight="1">
      <c r="D838" s="64"/>
      <c r="E838" s="64"/>
      <c r="F838" s="64"/>
    </row>
    <row r="839" ht="14.25" customHeight="1">
      <c r="D839" s="64"/>
      <c r="E839" s="64"/>
      <c r="F839" s="64"/>
    </row>
    <row r="840" ht="14.25" customHeight="1">
      <c r="D840" s="64"/>
      <c r="E840" s="64"/>
      <c r="F840" s="64"/>
    </row>
    <row r="841" ht="14.25" customHeight="1">
      <c r="D841" s="64"/>
      <c r="E841" s="64"/>
      <c r="F841" s="64"/>
    </row>
    <row r="842" ht="14.25" customHeight="1">
      <c r="D842" s="64"/>
      <c r="E842" s="64"/>
      <c r="F842" s="64"/>
    </row>
    <row r="843" ht="14.25" customHeight="1">
      <c r="D843" s="64"/>
      <c r="E843" s="64"/>
      <c r="F843" s="64"/>
    </row>
    <row r="844" ht="14.25" customHeight="1">
      <c r="D844" s="64"/>
      <c r="E844" s="64"/>
      <c r="F844" s="64"/>
    </row>
    <row r="845" ht="14.25" customHeight="1">
      <c r="D845" s="64"/>
      <c r="E845" s="64"/>
      <c r="F845" s="64"/>
    </row>
    <row r="846" ht="14.25" customHeight="1">
      <c r="D846" s="64"/>
      <c r="E846" s="64"/>
      <c r="F846" s="64"/>
    </row>
    <row r="847" ht="14.25" customHeight="1">
      <c r="D847" s="64"/>
      <c r="E847" s="64"/>
      <c r="F847" s="64"/>
    </row>
    <row r="848" ht="14.25" customHeight="1">
      <c r="D848" s="64"/>
      <c r="E848" s="64"/>
      <c r="F848" s="64"/>
    </row>
    <row r="849" ht="14.25" customHeight="1">
      <c r="D849" s="64"/>
      <c r="E849" s="64"/>
      <c r="F849" s="64"/>
    </row>
    <row r="850" ht="14.25" customHeight="1">
      <c r="D850" s="64"/>
      <c r="E850" s="64"/>
      <c r="F850" s="64"/>
    </row>
    <row r="851" ht="14.25" customHeight="1">
      <c r="D851" s="64"/>
      <c r="E851" s="64"/>
      <c r="F851" s="64"/>
    </row>
    <row r="852" ht="14.25" customHeight="1">
      <c r="D852" s="64"/>
      <c r="E852" s="64"/>
      <c r="F852" s="64"/>
    </row>
    <row r="853" ht="14.25" customHeight="1">
      <c r="D853" s="64"/>
      <c r="E853" s="64"/>
      <c r="F853" s="64"/>
    </row>
    <row r="854" ht="14.25" customHeight="1">
      <c r="D854" s="64"/>
      <c r="E854" s="64"/>
      <c r="F854" s="64"/>
    </row>
    <row r="855" ht="14.25" customHeight="1">
      <c r="D855" s="64"/>
      <c r="E855" s="64"/>
      <c r="F855" s="64"/>
    </row>
    <row r="856" ht="14.25" customHeight="1">
      <c r="D856" s="64"/>
      <c r="E856" s="64"/>
      <c r="F856" s="64"/>
    </row>
    <row r="857" ht="14.25" customHeight="1">
      <c r="D857" s="64"/>
      <c r="E857" s="64"/>
      <c r="F857" s="64"/>
    </row>
    <row r="858" ht="14.25" customHeight="1">
      <c r="D858" s="64"/>
      <c r="E858" s="64"/>
      <c r="F858" s="64"/>
    </row>
    <row r="859" ht="14.25" customHeight="1">
      <c r="D859" s="64"/>
      <c r="E859" s="64"/>
      <c r="F859" s="64"/>
    </row>
    <row r="860" ht="14.25" customHeight="1">
      <c r="D860" s="64"/>
      <c r="E860" s="64"/>
      <c r="F860" s="64"/>
    </row>
    <row r="861" ht="14.25" customHeight="1">
      <c r="D861" s="64"/>
      <c r="E861" s="64"/>
      <c r="F861" s="64"/>
    </row>
    <row r="862" ht="14.25" customHeight="1">
      <c r="D862" s="64"/>
      <c r="E862" s="64"/>
      <c r="F862" s="64"/>
    </row>
    <row r="863" ht="14.25" customHeight="1">
      <c r="D863" s="64"/>
      <c r="E863" s="64"/>
      <c r="F863" s="64"/>
    </row>
    <row r="864" ht="14.25" customHeight="1">
      <c r="D864" s="64"/>
      <c r="E864" s="64"/>
      <c r="F864" s="64"/>
    </row>
    <row r="865" ht="14.25" customHeight="1">
      <c r="D865" s="64"/>
      <c r="E865" s="64"/>
      <c r="F865" s="64"/>
    </row>
    <row r="866" ht="14.25" customHeight="1">
      <c r="D866" s="64"/>
      <c r="E866" s="64"/>
      <c r="F866" s="64"/>
    </row>
    <row r="867" ht="14.25" customHeight="1">
      <c r="D867" s="64"/>
      <c r="E867" s="64"/>
      <c r="F867" s="64"/>
    </row>
    <row r="868" ht="14.25" customHeight="1">
      <c r="D868" s="64"/>
      <c r="E868" s="64"/>
      <c r="F868" s="64"/>
    </row>
    <row r="869" ht="14.25" customHeight="1">
      <c r="D869" s="64"/>
      <c r="E869" s="64"/>
      <c r="F869" s="64"/>
    </row>
    <row r="870" ht="14.25" customHeight="1">
      <c r="D870" s="64"/>
      <c r="E870" s="64"/>
      <c r="F870" s="64"/>
    </row>
    <row r="871" ht="14.25" customHeight="1">
      <c r="D871" s="64"/>
      <c r="E871" s="64"/>
      <c r="F871" s="64"/>
    </row>
    <row r="872" ht="14.25" customHeight="1">
      <c r="D872" s="64"/>
      <c r="E872" s="64"/>
      <c r="F872" s="64"/>
    </row>
    <row r="873" ht="14.25" customHeight="1">
      <c r="D873" s="64"/>
      <c r="E873" s="64"/>
      <c r="F873" s="64"/>
    </row>
    <row r="874" ht="14.25" customHeight="1">
      <c r="D874" s="64"/>
      <c r="E874" s="64"/>
      <c r="F874" s="64"/>
    </row>
    <row r="875" ht="14.25" customHeight="1">
      <c r="D875" s="64"/>
      <c r="E875" s="64"/>
      <c r="F875" s="64"/>
    </row>
    <row r="876" ht="14.25" customHeight="1">
      <c r="D876" s="64"/>
      <c r="E876" s="64"/>
      <c r="F876" s="64"/>
    </row>
    <row r="877" ht="14.25" customHeight="1">
      <c r="D877" s="64"/>
      <c r="E877" s="64"/>
      <c r="F877" s="64"/>
    </row>
    <row r="878" ht="14.25" customHeight="1">
      <c r="D878" s="64"/>
      <c r="E878" s="64"/>
      <c r="F878" s="64"/>
    </row>
    <row r="879" ht="14.25" customHeight="1">
      <c r="D879" s="64"/>
      <c r="E879" s="64"/>
      <c r="F879" s="64"/>
    </row>
    <row r="880" ht="14.25" customHeight="1">
      <c r="D880" s="64"/>
      <c r="E880" s="64"/>
      <c r="F880" s="64"/>
    </row>
    <row r="881" ht="14.25" customHeight="1">
      <c r="D881" s="64"/>
      <c r="E881" s="64"/>
      <c r="F881" s="64"/>
    </row>
    <row r="882" ht="14.25" customHeight="1">
      <c r="D882" s="64"/>
      <c r="E882" s="64"/>
      <c r="F882" s="64"/>
    </row>
    <row r="883" ht="14.25" customHeight="1">
      <c r="D883" s="64"/>
      <c r="E883" s="64"/>
      <c r="F883" s="64"/>
    </row>
    <row r="884" ht="14.25" customHeight="1">
      <c r="D884" s="64"/>
      <c r="E884" s="64"/>
      <c r="F884" s="64"/>
    </row>
    <row r="885" ht="14.25" customHeight="1">
      <c r="D885" s="64"/>
      <c r="E885" s="64"/>
      <c r="F885" s="64"/>
    </row>
    <row r="886" ht="14.25" customHeight="1">
      <c r="D886" s="64"/>
      <c r="E886" s="64"/>
      <c r="F886" s="64"/>
    </row>
    <row r="887" ht="14.25" customHeight="1">
      <c r="D887" s="64"/>
      <c r="E887" s="64"/>
      <c r="F887" s="64"/>
    </row>
    <row r="888" ht="14.25" customHeight="1">
      <c r="D888" s="64"/>
      <c r="E888" s="64"/>
      <c r="F888" s="64"/>
    </row>
    <row r="889" ht="14.25" customHeight="1">
      <c r="D889" s="64"/>
      <c r="E889" s="64"/>
      <c r="F889" s="64"/>
    </row>
    <row r="890" ht="14.25" customHeight="1">
      <c r="D890" s="64"/>
      <c r="E890" s="64"/>
      <c r="F890" s="64"/>
    </row>
    <row r="891" ht="14.25" customHeight="1">
      <c r="D891" s="64"/>
      <c r="E891" s="64"/>
      <c r="F891" s="64"/>
    </row>
    <row r="892" ht="14.25" customHeight="1">
      <c r="D892" s="64"/>
      <c r="E892" s="64"/>
      <c r="F892" s="64"/>
    </row>
    <row r="893" ht="14.25" customHeight="1">
      <c r="D893" s="64"/>
      <c r="E893" s="64"/>
      <c r="F893" s="64"/>
    </row>
    <row r="894" ht="14.25" customHeight="1">
      <c r="D894" s="64"/>
      <c r="E894" s="64"/>
      <c r="F894" s="64"/>
    </row>
    <row r="895" ht="14.25" customHeight="1">
      <c r="D895" s="64"/>
      <c r="E895" s="64"/>
      <c r="F895" s="64"/>
    </row>
    <row r="896" ht="14.25" customHeight="1">
      <c r="D896" s="64"/>
      <c r="E896" s="64"/>
      <c r="F896" s="64"/>
    </row>
    <row r="897" ht="14.25" customHeight="1">
      <c r="D897" s="64"/>
      <c r="E897" s="64"/>
      <c r="F897" s="64"/>
    </row>
    <row r="898" ht="14.25" customHeight="1">
      <c r="D898" s="64"/>
      <c r="E898" s="64"/>
      <c r="F898" s="64"/>
    </row>
    <row r="899" ht="14.25" customHeight="1">
      <c r="D899" s="64"/>
      <c r="E899" s="64"/>
      <c r="F899" s="64"/>
    </row>
    <row r="900" ht="14.25" customHeight="1">
      <c r="D900" s="64"/>
      <c r="E900" s="64"/>
      <c r="F900" s="64"/>
    </row>
    <row r="901" ht="14.25" customHeight="1">
      <c r="D901" s="64"/>
      <c r="E901" s="64"/>
      <c r="F901" s="64"/>
    </row>
    <row r="902" ht="14.25" customHeight="1">
      <c r="D902" s="64"/>
      <c r="E902" s="64"/>
      <c r="F902" s="64"/>
    </row>
    <row r="903" ht="14.25" customHeight="1">
      <c r="D903" s="64"/>
      <c r="E903" s="64"/>
      <c r="F903" s="64"/>
    </row>
    <row r="904" ht="14.25" customHeight="1">
      <c r="D904" s="64"/>
      <c r="E904" s="64"/>
      <c r="F904" s="64"/>
    </row>
    <row r="905" ht="14.25" customHeight="1">
      <c r="D905" s="64"/>
      <c r="E905" s="64"/>
      <c r="F905" s="64"/>
    </row>
    <row r="906" ht="14.25" customHeight="1">
      <c r="D906" s="64"/>
      <c r="E906" s="64"/>
      <c r="F906" s="64"/>
    </row>
    <row r="907" ht="14.25" customHeight="1">
      <c r="D907" s="64"/>
      <c r="E907" s="64"/>
      <c r="F907" s="64"/>
    </row>
    <row r="908" ht="14.25" customHeight="1">
      <c r="D908" s="64"/>
      <c r="E908" s="64"/>
      <c r="F908" s="64"/>
    </row>
    <row r="909" ht="14.25" customHeight="1">
      <c r="D909" s="64"/>
      <c r="E909" s="64"/>
      <c r="F909" s="64"/>
    </row>
    <row r="910" ht="14.25" customHeight="1">
      <c r="D910" s="64"/>
      <c r="E910" s="64"/>
      <c r="F910" s="64"/>
    </row>
    <row r="911" ht="14.25" customHeight="1">
      <c r="D911" s="64"/>
      <c r="E911" s="64"/>
      <c r="F911" s="64"/>
    </row>
    <row r="912" ht="14.25" customHeight="1">
      <c r="D912" s="64"/>
      <c r="E912" s="64"/>
      <c r="F912" s="64"/>
    </row>
    <row r="913" ht="14.25" customHeight="1">
      <c r="D913" s="64"/>
      <c r="E913" s="64"/>
      <c r="F913" s="64"/>
    </row>
    <row r="914" ht="14.25" customHeight="1">
      <c r="D914" s="64"/>
      <c r="E914" s="64"/>
      <c r="F914" s="64"/>
    </row>
    <row r="915" ht="14.25" customHeight="1">
      <c r="D915" s="64"/>
      <c r="E915" s="64"/>
      <c r="F915" s="64"/>
    </row>
    <row r="916" ht="14.25" customHeight="1">
      <c r="D916" s="64"/>
      <c r="E916" s="64"/>
      <c r="F916" s="64"/>
    </row>
    <row r="917" ht="14.25" customHeight="1">
      <c r="D917" s="64"/>
      <c r="E917" s="64"/>
      <c r="F917" s="64"/>
    </row>
    <row r="918" ht="14.25" customHeight="1">
      <c r="D918" s="64"/>
      <c r="E918" s="64"/>
      <c r="F918" s="64"/>
    </row>
    <row r="919" ht="14.25" customHeight="1">
      <c r="D919" s="64"/>
      <c r="E919" s="64"/>
      <c r="F919" s="64"/>
    </row>
    <row r="920" ht="14.25" customHeight="1">
      <c r="D920" s="64"/>
      <c r="E920" s="64"/>
      <c r="F920" s="64"/>
    </row>
    <row r="921" ht="14.25" customHeight="1">
      <c r="D921" s="64"/>
      <c r="E921" s="64"/>
      <c r="F921" s="64"/>
    </row>
    <row r="922" ht="14.25" customHeight="1">
      <c r="D922" s="64"/>
      <c r="E922" s="64"/>
      <c r="F922" s="64"/>
    </row>
    <row r="923" ht="14.25" customHeight="1">
      <c r="D923" s="64"/>
      <c r="E923" s="64"/>
      <c r="F923" s="64"/>
    </row>
    <row r="924" ht="14.25" customHeight="1">
      <c r="D924" s="64"/>
      <c r="E924" s="64"/>
      <c r="F924" s="64"/>
    </row>
    <row r="925" ht="14.25" customHeight="1">
      <c r="D925" s="64"/>
      <c r="E925" s="64"/>
      <c r="F925" s="64"/>
    </row>
    <row r="926" ht="14.25" customHeight="1">
      <c r="D926" s="64"/>
      <c r="E926" s="64"/>
      <c r="F926" s="64"/>
    </row>
    <row r="927" ht="14.25" customHeight="1">
      <c r="D927" s="64"/>
      <c r="E927" s="64"/>
      <c r="F927" s="64"/>
    </row>
    <row r="928" ht="14.25" customHeight="1">
      <c r="D928" s="64"/>
      <c r="E928" s="64"/>
      <c r="F928" s="64"/>
    </row>
    <row r="929" ht="14.25" customHeight="1">
      <c r="D929" s="64"/>
      <c r="E929" s="64"/>
      <c r="F929" s="64"/>
    </row>
    <row r="930" ht="14.25" customHeight="1">
      <c r="D930" s="64"/>
      <c r="E930" s="64"/>
      <c r="F930" s="64"/>
    </row>
    <row r="931" ht="14.25" customHeight="1">
      <c r="D931" s="64"/>
      <c r="E931" s="64"/>
      <c r="F931" s="64"/>
    </row>
    <row r="932" ht="14.25" customHeight="1">
      <c r="D932" s="64"/>
      <c r="E932" s="64"/>
      <c r="F932" s="64"/>
    </row>
    <row r="933" ht="14.25" customHeight="1">
      <c r="D933" s="64"/>
      <c r="E933" s="64"/>
      <c r="F933" s="64"/>
    </row>
    <row r="934" ht="14.25" customHeight="1">
      <c r="D934" s="64"/>
      <c r="E934" s="64"/>
      <c r="F934" s="64"/>
    </row>
    <row r="935" ht="14.25" customHeight="1">
      <c r="D935" s="64"/>
      <c r="E935" s="64"/>
      <c r="F935" s="64"/>
    </row>
    <row r="936" ht="14.25" customHeight="1">
      <c r="D936" s="64"/>
      <c r="E936" s="64"/>
      <c r="F936" s="64"/>
    </row>
    <row r="937" ht="14.25" customHeight="1">
      <c r="D937" s="64"/>
      <c r="E937" s="64"/>
      <c r="F937" s="64"/>
    </row>
    <row r="938" ht="14.25" customHeight="1">
      <c r="D938" s="64"/>
      <c r="E938" s="64"/>
      <c r="F938" s="64"/>
    </row>
    <row r="939" ht="14.25" customHeight="1">
      <c r="D939" s="64"/>
      <c r="E939" s="64"/>
      <c r="F939" s="64"/>
    </row>
    <row r="940" ht="14.25" customHeight="1">
      <c r="D940" s="64"/>
      <c r="E940" s="64"/>
      <c r="F940" s="64"/>
    </row>
    <row r="941" ht="14.25" customHeight="1">
      <c r="D941" s="64"/>
      <c r="E941" s="64"/>
      <c r="F941" s="64"/>
    </row>
    <row r="942" ht="14.25" customHeight="1">
      <c r="D942" s="64"/>
      <c r="E942" s="64"/>
      <c r="F942" s="64"/>
    </row>
    <row r="943" ht="14.25" customHeight="1">
      <c r="D943" s="64"/>
      <c r="E943" s="64"/>
      <c r="F943" s="64"/>
    </row>
    <row r="944" ht="14.25" customHeight="1">
      <c r="D944" s="64"/>
      <c r="E944" s="64"/>
      <c r="F944" s="64"/>
    </row>
    <row r="945" ht="14.25" customHeight="1">
      <c r="D945" s="64"/>
      <c r="E945" s="64"/>
      <c r="F945" s="64"/>
    </row>
    <row r="946" ht="14.25" customHeight="1">
      <c r="D946" s="64"/>
      <c r="E946" s="64"/>
      <c r="F946" s="64"/>
    </row>
    <row r="947" ht="14.25" customHeight="1">
      <c r="D947" s="64"/>
      <c r="E947" s="64"/>
      <c r="F947" s="64"/>
    </row>
    <row r="948" ht="14.25" customHeight="1">
      <c r="D948" s="64"/>
      <c r="E948" s="64"/>
      <c r="F948" s="64"/>
    </row>
    <row r="949" ht="14.25" customHeight="1">
      <c r="D949" s="64"/>
      <c r="E949" s="64"/>
      <c r="F949" s="64"/>
    </row>
    <row r="950" ht="14.25" customHeight="1">
      <c r="D950" s="64"/>
      <c r="E950" s="64"/>
      <c r="F950" s="64"/>
    </row>
    <row r="951" ht="14.25" customHeight="1">
      <c r="D951" s="64"/>
      <c r="E951" s="64"/>
      <c r="F951" s="64"/>
    </row>
    <row r="952" ht="14.25" customHeight="1">
      <c r="D952" s="64"/>
      <c r="E952" s="64"/>
      <c r="F952" s="64"/>
    </row>
    <row r="953" ht="14.25" customHeight="1">
      <c r="D953" s="64"/>
      <c r="E953" s="64"/>
      <c r="F953" s="64"/>
    </row>
    <row r="954" ht="14.25" customHeight="1">
      <c r="D954" s="64"/>
      <c r="E954" s="64"/>
      <c r="F954" s="64"/>
    </row>
    <row r="955" ht="14.25" customHeight="1">
      <c r="D955" s="64"/>
      <c r="E955" s="64"/>
      <c r="F955" s="64"/>
    </row>
    <row r="956" ht="14.25" customHeight="1">
      <c r="D956" s="64"/>
      <c r="E956" s="64"/>
      <c r="F956" s="64"/>
    </row>
    <row r="957" ht="14.25" customHeight="1">
      <c r="D957" s="64"/>
      <c r="E957" s="64"/>
      <c r="F957" s="64"/>
    </row>
    <row r="958" ht="14.25" customHeight="1">
      <c r="D958" s="64"/>
      <c r="E958" s="64"/>
      <c r="F958" s="64"/>
    </row>
    <row r="959" ht="14.25" customHeight="1">
      <c r="D959" s="64"/>
      <c r="E959" s="64"/>
      <c r="F959" s="64"/>
    </row>
    <row r="960" ht="14.25" customHeight="1">
      <c r="D960" s="64"/>
      <c r="E960" s="64"/>
      <c r="F960" s="64"/>
    </row>
    <row r="961" ht="14.25" customHeight="1">
      <c r="D961" s="64"/>
      <c r="E961" s="64"/>
      <c r="F961" s="64"/>
    </row>
    <row r="962" ht="14.25" customHeight="1">
      <c r="D962" s="64"/>
      <c r="E962" s="64"/>
      <c r="F962" s="64"/>
    </row>
    <row r="963" ht="14.25" customHeight="1">
      <c r="D963" s="64"/>
      <c r="E963" s="64"/>
      <c r="F963" s="64"/>
    </row>
    <row r="964" ht="14.25" customHeight="1">
      <c r="D964" s="64"/>
      <c r="E964" s="64"/>
      <c r="F964" s="64"/>
    </row>
    <row r="965" ht="14.25" customHeight="1">
      <c r="D965" s="64"/>
      <c r="E965" s="64"/>
      <c r="F965" s="64"/>
    </row>
    <row r="966" ht="14.25" customHeight="1">
      <c r="D966" s="64"/>
      <c r="E966" s="64"/>
      <c r="F966" s="64"/>
    </row>
    <row r="967" ht="14.25" customHeight="1">
      <c r="D967" s="64"/>
      <c r="E967" s="64"/>
      <c r="F967" s="64"/>
    </row>
    <row r="968" ht="14.25" customHeight="1">
      <c r="D968" s="64"/>
      <c r="E968" s="64"/>
      <c r="F968" s="64"/>
    </row>
    <row r="969" ht="14.25" customHeight="1">
      <c r="D969" s="64"/>
      <c r="E969" s="64"/>
      <c r="F969" s="64"/>
    </row>
    <row r="970" ht="14.25" customHeight="1">
      <c r="D970" s="64"/>
      <c r="E970" s="64"/>
      <c r="F970" s="64"/>
    </row>
    <row r="971" ht="14.25" customHeight="1">
      <c r="D971" s="64"/>
      <c r="E971" s="64"/>
      <c r="F971" s="64"/>
    </row>
    <row r="972" ht="14.25" customHeight="1">
      <c r="D972" s="64"/>
      <c r="E972" s="64"/>
      <c r="F972" s="64"/>
    </row>
    <row r="973" ht="14.25" customHeight="1">
      <c r="D973" s="64"/>
      <c r="E973" s="64"/>
      <c r="F973" s="64"/>
    </row>
    <row r="974" ht="14.25" customHeight="1">
      <c r="D974" s="64"/>
      <c r="E974" s="64"/>
      <c r="F974" s="64"/>
    </row>
    <row r="975" ht="14.25" customHeight="1">
      <c r="D975" s="64"/>
      <c r="E975" s="64"/>
      <c r="F975" s="64"/>
    </row>
    <row r="976" ht="14.25" customHeight="1">
      <c r="D976" s="64"/>
      <c r="E976" s="64"/>
      <c r="F976" s="64"/>
    </row>
    <row r="977" ht="14.25" customHeight="1">
      <c r="D977" s="64"/>
      <c r="E977" s="64"/>
      <c r="F977" s="64"/>
    </row>
    <row r="978" ht="14.25" customHeight="1">
      <c r="D978" s="64"/>
      <c r="E978" s="64"/>
      <c r="F978" s="64"/>
    </row>
    <row r="979" ht="14.25" customHeight="1">
      <c r="D979" s="64"/>
      <c r="E979" s="64"/>
      <c r="F979" s="64"/>
    </row>
    <row r="980" ht="14.25" customHeight="1">
      <c r="D980" s="64"/>
      <c r="E980" s="64"/>
      <c r="F980" s="64"/>
    </row>
    <row r="981" ht="14.25" customHeight="1">
      <c r="D981" s="64"/>
      <c r="E981" s="64"/>
      <c r="F981" s="64"/>
    </row>
    <row r="982" ht="14.25" customHeight="1">
      <c r="D982" s="64"/>
      <c r="E982" s="64"/>
      <c r="F982" s="64"/>
    </row>
    <row r="983" ht="14.25" customHeight="1">
      <c r="D983" s="64"/>
      <c r="E983" s="64"/>
      <c r="F983" s="64"/>
    </row>
    <row r="984" ht="14.25" customHeight="1">
      <c r="D984" s="64"/>
      <c r="E984" s="64"/>
      <c r="F984" s="64"/>
    </row>
    <row r="985" ht="14.25" customHeight="1">
      <c r="D985" s="64"/>
      <c r="E985" s="64"/>
      <c r="F985" s="64"/>
    </row>
    <row r="986" ht="14.25" customHeight="1">
      <c r="D986" s="64"/>
      <c r="E986" s="64"/>
      <c r="F986" s="64"/>
    </row>
    <row r="987" ht="14.25" customHeight="1">
      <c r="D987" s="64"/>
      <c r="E987" s="64"/>
      <c r="F987" s="64"/>
    </row>
    <row r="988" ht="14.25" customHeight="1">
      <c r="D988" s="64"/>
      <c r="E988" s="64"/>
      <c r="F988" s="64"/>
    </row>
    <row r="989" ht="14.25" customHeight="1">
      <c r="D989" s="64"/>
      <c r="E989" s="64"/>
      <c r="F989" s="64"/>
    </row>
    <row r="990" ht="14.25" customHeight="1">
      <c r="D990" s="64"/>
      <c r="E990" s="64"/>
      <c r="F990" s="64"/>
    </row>
    <row r="991" ht="14.25" customHeight="1">
      <c r="D991" s="64"/>
      <c r="E991" s="64"/>
      <c r="F991" s="64"/>
    </row>
    <row r="992" ht="14.25" customHeight="1">
      <c r="D992" s="64"/>
      <c r="E992" s="64"/>
      <c r="F992" s="64"/>
    </row>
    <row r="993" ht="14.25" customHeight="1">
      <c r="D993" s="64"/>
      <c r="E993" s="64"/>
      <c r="F993" s="64"/>
    </row>
    <row r="994" ht="14.25" customHeight="1">
      <c r="D994" s="64"/>
      <c r="E994" s="64"/>
      <c r="F994" s="64"/>
    </row>
    <row r="995" ht="14.25" customHeight="1">
      <c r="D995" s="64"/>
      <c r="E995" s="64"/>
      <c r="F995" s="64"/>
    </row>
    <row r="996" ht="14.25" customHeight="1">
      <c r="D996" s="64"/>
      <c r="E996" s="64"/>
      <c r="F996" s="64"/>
    </row>
    <row r="997" ht="14.25" customHeight="1">
      <c r="D997" s="64"/>
      <c r="E997" s="64"/>
      <c r="F997" s="64"/>
    </row>
    <row r="998" ht="14.25" customHeight="1">
      <c r="D998" s="64"/>
      <c r="E998" s="64"/>
      <c r="F998" s="64"/>
    </row>
    <row r="999" ht="14.25" customHeight="1">
      <c r="D999" s="64"/>
      <c r="E999" s="64"/>
      <c r="F999" s="64"/>
    </row>
    <row r="1000" ht="14.25" customHeight="1">
      <c r="D1000" s="64"/>
      <c r="E1000" s="64"/>
      <c r="F1000" s="64"/>
    </row>
  </sheetData>
  <mergeCells count="96">
    <mergeCell ref="B75:B79"/>
    <mergeCell ref="C80:F80"/>
    <mergeCell ref="C63:C64"/>
    <mergeCell ref="D63:F63"/>
    <mergeCell ref="D64:F64"/>
    <mergeCell ref="B66:B70"/>
    <mergeCell ref="D70:F70"/>
    <mergeCell ref="B71:B74"/>
    <mergeCell ref="B80:B89"/>
    <mergeCell ref="B93:B97"/>
    <mergeCell ref="D93:F93"/>
    <mergeCell ref="D96:F96"/>
    <mergeCell ref="D97:F97"/>
    <mergeCell ref="B99:B100"/>
    <mergeCell ref="D99:F99"/>
    <mergeCell ref="D100:F100"/>
    <mergeCell ref="B108:B111"/>
    <mergeCell ref="B112:B118"/>
    <mergeCell ref="B120:B123"/>
    <mergeCell ref="D101:F101"/>
    <mergeCell ref="D102:F102"/>
    <mergeCell ref="C107:E107"/>
    <mergeCell ref="C108:E108"/>
    <mergeCell ref="C109:E109"/>
    <mergeCell ref="C110:E110"/>
    <mergeCell ref="C111:E111"/>
    <mergeCell ref="C119:E119"/>
    <mergeCell ref="C120:E123"/>
    <mergeCell ref="C112:E112"/>
    <mergeCell ref="C113:E113"/>
    <mergeCell ref="C114:E114"/>
    <mergeCell ref="C115:E115"/>
    <mergeCell ref="C116:E116"/>
    <mergeCell ref="C117:E117"/>
    <mergeCell ref="C118:E118"/>
    <mergeCell ref="G77:J77"/>
    <mergeCell ref="G78:J78"/>
    <mergeCell ref="G79:J79"/>
    <mergeCell ref="G80:J89"/>
    <mergeCell ref="G90:J90"/>
    <mergeCell ref="G91:J91"/>
    <mergeCell ref="G92:J92"/>
    <mergeCell ref="G93:J95"/>
    <mergeCell ref="G96:J96"/>
    <mergeCell ref="G97:J97"/>
    <mergeCell ref="G98:J98"/>
    <mergeCell ref="G99:J99"/>
    <mergeCell ref="G100:J100"/>
    <mergeCell ref="G101:J101"/>
    <mergeCell ref="B127:G127"/>
    <mergeCell ref="B128:G128"/>
    <mergeCell ref="F120:G120"/>
    <mergeCell ref="F121:G121"/>
    <mergeCell ref="F122:G122"/>
    <mergeCell ref="F123:G123"/>
    <mergeCell ref="B124:G124"/>
    <mergeCell ref="B125:G125"/>
    <mergeCell ref="B126:G126"/>
    <mergeCell ref="D20:F20"/>
    <mergeCell ref="B25:B26"/>
    <mergeCell ref="C25:C26"/>
    <mergeCell ref="D28:F28"/>
    <mergeCell ref="D29:F29"/>
    <mergeCell ref="D31:F31"/>
    <mergeCell ref="C40:J40"/>
    <mergeCell ref="C43:J43"/>
    <mergeCell ref="C44:J44"/>
    <mergeCell ref="C45:J45"/>
    <mergeCell ref="D57:F57"/>
    <mergeCell ref="G57:J57"/>
    <mergeCell ref="G58:J58"/>
    <mergeCell ref="B60:B65"/>
    <mergeCell ref="D65:F65"/>
    <mergeCell ref="K71:K74"/>
    <mergeCell ref="K75:K79"/>
    <mergeCell ref="K80:K83"/>
    <mergeCell ref="K85:K88"/>
    <mergeCell ref="K93:K95"/>
    <mergeCell ref="G59:J59"/>
    <mergeCell ref="G60:J65"/>
    <mergeCell ref="K60:K65"/>
    <mergeCell ref="G66:J70"/>
    <mergeCell ref="K66:K70"/>
    <mergeCell ref="G71:J74"/>
    <mergeCell ref="G75:J76"/>
    <mergeCell ref="D74:F74"/>
    <mergeCell ref="D79:F79"/>
    <mergeCell ref="C85:F85"/>
    <mergeCell ref="D92:F92"/>
    <mergeCell ref="G102:J102"/>
    <mergeCell ref="B104:K104"/>
    <mergeCell ref="F107:G107"/>
    <mergeCell ref="F108:G111"/>
    <mergeCell ref="F112:G116"/>
    <mergeCell ref="F117:G118"/>
    <mergeCell ref="F119:G119"/>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2.0"/>
    <col customWidth="1" min="3" max="3" width="6.43"/>
    <col customWidth="1" min="4" max="4" width="11.14"/>
    <col customWidth="1" min="5" max="7" width="8.71"/>
    <col customWidth="1" min="8" max="8" width="15.29"/>
    <col customWidth="1" min="9" max="11" width="8.71"/>
    <col customWidth="1" min="12" max="12" width="12.43"/>
    <col customWidth="1" min="13" max="26" width="8.71"/>
  </cols>
  <sheetData>
    <row r="1" ht="14.25" customHeight="1">
      <c r="B1" s="1" t="s">
        <v>720</v>
      </c>
    </row>
    <row r="2" ht="14.25" customHeight="1"/>
    <row r="3" ht="14.25" customHeight="1">
      <c r="B3" s="178" t="s">
        <v>721</v>
      </c>
      <c r="C3" s="311"/>
      <c r="D3" s="312" t="s">
        <v>722</v>
      </c>
    </row>
    <row r="4" ht="15.0" customHeight="1">
      <c r="B4" s="21"/>
      <c r="C4" s="313"/>
      <c r="D4" s="184"/>
    </row>
    <row r="5" ht="14.25" customHeight="1">
      <c r="B5" s="28"/>
      <c r="C5" s="314"/>
      <c r="D5" s="250"/>
    </row>
    <row r="6" ht="14.25" customHeight="1">
      <c r="B6" s="231" t="s">
        <v>260</v>
      </c>
      <c r="C6" s="231">
        <v>974.0</v>
      </c>
      <c r="D6" s="35">
        <v>0.06</v>
      </c>
    </row>
    <row r="7" ht="14.25" customHeight="1">
      <c r="B7" s="231" t="s">
        <v>723</v>
      </c>
      <c r="C7" s="231" t="s">
        <v>724</v>
      </c>
      <c r="D7" s="36">
        <v>0.2</v>
      </c>
    </row>
    <row r="8" ht="14.25" customHeight="1">
      <c r="B8" s="231" t="s">
        <v>723</v>
      </c>
      <c r="C8" s="231" t="s">
        <v>725</v>
      </c>
      <c r="D8" s="34">
        <v>3.6</v>
      </c>
    </row>
    <row r="9" ht="14.25" customHeight="1">
      <c r="B9" s="231" t="s">
        <v>723</v>
      </c>
      <c r="C9" s="231" t="s">
        <v>726</v>
      </c>
      <c r="D9" s="40">
        <v>4.0</v>
      </c>
    </row>
    <row r="10" ht="14.25" customHeight="1">
      <c r="B10" s="231" t="s">
        <v>273</v>
      </c>
      <c r="C10" s="231">
        <v>1816.0</v>
      </c>
      <c r="D10" s="36">
        <v>42.0</v>
      </c>
    </row>
    <row r="11" ht="14.25" customHeight="1">
      <c r="B11" s="231" t="s">
        <v>282</v>
      </c>
      <c r="C11" s="231">
        <v>1533.0</v>
      </c>
      <c r="D11" s="36">
        <v>200.0</v>
      </c>
    </row>
    <row r="12" ht="14.25" customHeight="1">
      <c r="B12" s="231" t="s">
        <v>291</v>
      </c>
      <c r="C12" s="231"/>
      <c r="D12" s="40">
        <v>1.0</v>
      </c>
      <c r="H12" s="315"/>
      <c r="I12" s="316" t="s">
        <v>727</v>
      </c>
      <c r="J12" s="316" t="s">
        <v>728</v>
      </c>
      <c r="K12" s="317" t="s">
        <v>729</v>
      </c>
    </row>
    <row r="13" ht="14.25" customHeight="1">
      <c r="B13" s="231" t="s">
        <v>730</v>
      </c>
      <c r="C13" s="231"/>
      <c r="D13" s="40" t="s">
        <v>731</v>
      </c>
      <c r="H13" s="318" t="s">
        <v>732</v>
      </c>
      <c r="I13" s="94">
        <v>63.0</v>
      </c>
      <c r="J13" s="94">
        <f>63*1</f>
        <v>63</v>
      </c>
      <c r="K13" s="319">
        <f t="shared" ref="K13:K16" si="1">J13*32</f>
        <v>2016</v>
      </c>
    </row>
    <row r="14" ht="14.25" customHeight="1">
      <c r="B14" s="231" t="s">
        <v>35</v>
      </c>
      <c r="C14" s="231"/>
      <c r="D14" s="34" t="s">
        <v>25</v>
      </c>
      <c r="H14" s="318" t="s">
        <v>733</v>
      </c>
      <c r="I14" s="94">
        <v>63.0</v>
      </c>
      <c r="J14" s="94">
        <f>63*0.5</f>
        <v>31.5</v>
      </c>
      <c r="K14" s="319">
        <f t="shared" si="1"/>
        <v>1008</v>
      </c>
    </row>
    <row r="15" ht="14.25" customHeight="1">
      <c r="B15" s="275" t="s">
        <v>39</v>
      </c>
      <c r="C15" s="275"/>
      <c r="D15" s="44">
        <v>0.96</v>
      </c>
      <c r="H15" s="318" t="s">
        <v>734</v>
      </c>
      <c r="I15" s="94">
        <v>24.0</v>
      </c>
      <c r="J15" s="94">
        <f>24*1</f>
        <v>24</v>
      </c>
      <c r="K15" s="319">
        <f t="shared" si="1"/>
        <v>768</v>
      </c>
    </row>
    <row r="16" ht="14.25" customHeight="1">
      <c r="B16" s="177" t="s">
        <v>208</v>
      </c>
      <c r="C16" s="320">
        <v>20.0</v>
      </c>
      <c r="D16" s="320">
        <v>150.0</v>
      </c>
      <c r="H16" s="318" t="s">
        <v>735</v>
      </c>
      <c r="I16" s="94">
        <v>24.0</v>
      </c>
      <c r="J16" s="94">
        <f>24*0.5</f>
        <v>12</v>
      </c>
      <c r="K16" s="319">
        <f t="shared" si="1"/>
        <v>384</v>
      </c>
    </row>
    <row r="17" ht="14.25" customHeight="1">
      <c r="B17" s="21"/>
      <c r="C17" s="320">
        <v>40.0</v>
      </c>
      <c r="D17" s="320">
        <v>50.0</v>
      </c>
      <c r="H17" s="318" t="s">
        <v>736</v>
      </c>
      <c r="I17" s="94"/>
      <c r="J17" s="94"/>
      <c r="K17" s="319">
        <v>3600.0</v>
      </c>
    </row>
    <row r="18" ht="14.25" customHeight="1">
      <c r="B18" s="28"/>
      <c r="C18" s="320">
        <v>100.0</v>
      </c>
      <c r="D18" s="320">
        <v>15.0</v>
      </c>
      <c r="H18" s="321" t="s">
        <v>737</v>
      </c>
      <c r="I18" s="322"/>
      <c r="J18" s="323"/>
      <c r="K18" s="324">
        <f>SUM(K13:K17)</f>
        <v>7776</v>
      </c>
      <c r="L18" s="325">
        <f>K18*3.35</f>
        <v>26049.6</v>
      </c>
    </row>
    <row r="19" ht="14.25" customHeight="1">
      <c r="B19" s="185" t="s">
        <v>738</v>
      </c>
      <c r="C19" s="326"/>
      <c r="D19" s="327"/>
      <c r="E19" s="1" t="s">
        <v>739</v>
      </c>
    </row>
    <row r="20" ht="14.25" customHeight="1"/>
    <row r="21" ht="14.25" customHeight="1">
      <c r="B21" s="328" t="s">
        <v>740</v>
      </c>
      <c r="C21" s="328"/>
    </row>
    <row r="22" ht="14.25" customHeight="1">
      <c r="B22" s="328" t="s">
        <v>741</v>
      </c>
      <c r="C22" s="328"/>
      <c r="D22" s="1" t="s">
        <v>742</v>
      </c>
    </row>
    <row r="23" ht="14.25" customHeight="1">
      <c r="B23" s="328"/>
      <c r="C23" s="328"/>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3:B5"/>
    <mergeCell ref="D3:D4"/>
    <mergeCell ref="B16:B18"/>
    <mergeCell ref="H18:J18"/>
  </mergeCells>
  <printOptions/>
  <pageMargins bottom="0.75" footer="0.0" header="0.0" left="0.7" right="0.7" top="0.75"/>
  <pageSetup paperSize="9" orientation="portrait"/>
  <drawing r:id="rId1"/>
</worksheet>
</file>