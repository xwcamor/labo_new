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https://hitachipowergrids-my.sharepoint.com/personal/jessica_ramos_hitachienergy_com/Documents/PG Laboratorio/LABORATORIO 2021/Normas Laboratorio/6. CONTENIDO DE AGUA/"/>
    </mc:Choice>
  </mc:AlternateContent>
  <xr:revisionPtr revIDLastSave="54" documentId="8_{1C03C239-AC7C-4493-B1FF-F6C38EFB47FC}" xr6:coauthVersionLast="47" xr6:coauthVersionMax="47" xr10:uidLastSave="{DB9CE039-E6F9-4FB3-8317-A0F019360AD3}"/>
  <bookViews>
    <workbookView xWindow="-110" yWindow="-110" windowWidth="19420" windowHeight="10420" tabRatio="739" xr2:uid="{00000000-000D-0000-FFFF-FFFF00000000}"/>
  </bookViews>
  <sheets>
    <sheet name="Carta control" sheetId="9" r:id="rId1"/>
    <sheet name="Carta control Temp (2)" sheetId="10" state="hidden" r:id="rId2"/>
    <sheet name="LIMITES " sheetId="7" r:id="rId3"/>
    <sheet name="TCV HIGRÓMETRO TH-01" sheetId="4" state="hidden" r:id="rId4"/>
  </sheets>
  <definedNames>
    <definedName name="_xlnm.Print_Area" localSheetId="0">#N/A</definedName>
    <definedName name="_xlnm.Print_Area" localSheetId="1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19" i="9" l="1"/>
  <c r="AI24" i="9"/>
  <c r="AI32" i="9"/>
  <c r="AI41" i="9"/>
  <c r="AI45" i="9"/>
  <c r="N3" i="7"/>
  <c r="M3" i="7"/>
  <c r="E3" i="7" s="1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E6" i="9"/>
  <c r="F6" i="9"/>
  <c r="G6" i="9"/>
  <c r="H6" i="9"/>
  <c r="I6" i="9"/>
  <c r="J6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5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C6" i="7" l="1"/>
  <c r="F6" i="7"/>
  <c r="G15" i="7"/>
  <c r="G29" i="7"/>
  <c r="F14" i="7"/>
  <c r="C23" i="7"/>
  <c r="F31" i="7"/>
  <c r="F20" i="7"/>
  <c r="G21" i="7"/>
  <c r="C9" i="7"/>
  <c r="D24" i="7"/>
  <c r="G11" i="7"/>
  <c r="F19" i="7"/>
  <c r="C26" i="7"/>
  <c r="F7" i="7"/>
  <c r="C19" i="7"/>
  <c r="D8" i="7"/>
  <c r="F23" i="7"/>
  <c r="C24" i="7"/>
  <c r="G33" i="7"/>
  <c r="F22" i="7"/>
  <c r="C7" i="7"/>
  <c r="G26" i="7"/>
  <c r="D33" i="7"/>
  <c r="C8" i="7"/>
  <c r="F3" i="7"/>
  <c r="F4" i="7"/>
  <c r="D22" i="7"/>
  <c r="C29" i="7"/>
  <c r="F32" i="7"/>
  <c r="F21" i="7"/>
  <c r="D12" i="7"/>
  <c r="D3" i="7"/>
  <c r="G12" i="7"/>
  <c r="G9" i="7"/>
  <c r="D32" i="7"/>
  <c r="G20" i="7"/>
  <c r="C12" i="7"/>
  <c r="G30" i="7"/>
  <c r="D19" i="7"/>
  <c r="G16" i="7"/>
  <c r="C30" i="7"/>
  <c r="F9" i="7"/>
  <c r="C31" i="7"/>
  <c r="D17" i="7"/>
  <c r="G31" i="7"/>
  <c r="F28" i="7"/>
  <c r="D18" i="7"/>
  <c r="F8" i="7"/>
  <c r="G5" i="7"/>
  <c r="F27" i="7"/>
  <c r="D16" i="7"/>
  <c r="F15" i="7"/>
  <c r="G28" i="7"/>
  <c r="D30" i="7"/>
  <c r="D7" i="7"/>
  <c r="C5" i="7"/>
  <c r="D28" i="7"/>
  <c r="G32" i="7"/>
  <c r="D6" i="7"/>
  <c r="G27" i="7"/>
  <c r="C11" i="7"/>
  <c r="C4" i="7"/>
  <c r="G6" i="7"/>
  <c r="G25" i="7"/>
  <c r="D29" i="7"/>
  <c r="C33" i="7"/>
  <c r="D23" i="7"/>
  <c r="D26" i="7"/>
  <c r="C3" i="7"/>
  <c r="G3" i="7"/>
  <c r="D21" i="7"/>
  <c r="F25" i="7"/>
  <c r="F26" i="7"/>
  <c r="D4" i="7"/>
  <c r="F12" i="7"/>
  <c r="F33" i="7"/>
  <c r="C32" i="7"/>
  <c r="F24" i="7"/>
  <c r="G18" i="7"/>
  <c r="D25" i="7"/>
  <c r="F10" i="7"/>
  <c r="G23" i="7"/>
  <c r="G19" i="7"/>
  <c r="C16" i="7"/>
  <c r="D13" i="7"/>
  <c r="G8" i="7"/>
  <c r="G4" i="7"/>
  <c r="C20" i="7"/>
  <c r="C14" i="7"/>
  <c r="D5" i="7"/>
  <c r="F29" i="7"/>
  <c r="C17" i="7"/>
  <c r="D27" i="7"/>
  <c r="F16" i="7"/>
  <c r="D14" i="7"/>
  <c r="D11" i="7"/>
  <c r="F30" i="7"/>
  <c r="G17" i="7"/>
  <c r="G10" i="7"/>
  <c r="C22" i="7"/>
  <c r="G14" i="7"/>
  <c r="C21" i="7"/>
  <c r="C28" i="7"/>
  <c r="C25" i="7"/>
  <c r="D10" i="7"/>
  <c r="C10" i="7"/>
  <c r="G7" i="7"/>
  <c r="F17" i="7"/>
  <c r="G24" i="7"/>
  <c r="C18" i="7"/>
  <c r="G13" i="7"/>
  <c r="D20" i="7"/>
  <c r="F13" i="7"/>
  <c r="C13" i="7"/>
  <c r="G22" i="7"/>
  <c r="D9" i="7"/>
  <c r="C15" i="7"/>
  <c r="F5" i="7"/>
  <c r="D31" i="7"/>
  <c r="C27" i="7"/>
  <c r="F18" i="7"/>
  <c r="F11" i="7"/>
  <c r="D15" i="7"/>
  <c r="E22" i="7"/>
  <c r="E32" i="7"/>
  <c r="E6" i="7"/>
  <c r="E12" i="7"/>
  <c r="E23" i="7"/>
  <c r="E16" i="7"/>
  <c r="E13" i="7"/>
  <c r="E25" i="7"/>
  <c r="E26" i="7"/>
  <c r="E9" i="7"/>
  <c r="E10" i="7"/>
  <c r="E8" i="7"/>
  <c r="E5" i="7"/>
  <c r="E4" i="7"/>
  <c r="E27" i="7"/>
  <c r="E11" i="7"/>
  <c r="E17" i="7"/>
  <c r="E15" i="7"/>
  <c r="E18" i="7"/>
  <c r="E21" i="7"/>
  <c r="E14" i="7"/>
  <c r="E31" i="7"/>
  <c r="E29" i="7"/>
  <c r="E33" i="7"/>
  <c r="E24" i="7"/>
  <c r="E28" i="7"/>
  <c r="E20" i="7"/>
  <c r="E19" i="7"/>
  <c r="E7" i="7"/>
  <c r="E30" i="7"/>
</calcChain>
</file>

<file path=xl/sharedStrings.xml><?xml version="1.0" encoding="utf-8"?>
<sst xmlns="http://schemas.openxmlformats.org/spreadsheetml/2006/main" count="47" uniqueCount="39">
  <si>
    <t>ÁREA:</t>
  </si>
  <si>
    <t>Certificado Termohigrometro TH-01</t>
  </si>
  <si>
    <t>Indicación del Termometro</t>
  </si>
  <si>
    <t>TCV ( ºC )</t>
  </si>
  <si>
    <t>x</t>
  </si>
  <si>
    <t>CARTA  DE CONTROL:</t>
  </si>
  <si>
    <t>TEMPERATURA</t>
  </si>
  <si>
    <t>HUMEDAD</t>
  </si>
  <si>
    <t>CÓDIGO DE EQUIPO DE MEDICIÓN:</t>
  </si>
  <si>
    <t>NRO.</t>
  </si>
  <si>
    <t>Fecha</t>
  </si>
  <si>
    <t>LC</t>
  </si>
  <si>
    <t>TH-01</t>
  </si>
  <si>
    <t>Lab. Ambiental-Suelos</t>
  </si>
  <si>
    <t>Nº</t>
  </si>
  <si>
    <t>T ºC (TCV)</t>
  </si>
  <si>
    <t>Promedio TºC (TCV)</t>
  </si>
  <si>
    <t>Desviacion Standard</t>
  </si>
  <si>
    <t>Limite Central</t>
  </si>
  <si>
    <t>Lim. Advert. Inferior</t>
  </si>
  <si>
    <t>Lim. Advert. Superior</t>
  </si>
  <si>
    <t>Lim. Control  Inferior</t>
  </si>
  <si>
    <t>Lim. Control Superior</t>
  </si>
  <si>
    <r>
      <t>LCI = LC-2*</t>
    </r>
    <r>
      <rPr>
        <b/>
        <sz val="12"/>
        <rFont val="Calibri"/>
        <family val="2"/>
      </rPr>
      <t>σ</t>
    </r>
  </si>
  <si>
    <r>
      <t>LAI = LC-3*</t>
    </r>
    <r>
      <rPr>
        <b/>
        <sz val="12"/>
        <rFont val="Calibri"/>
        <family val="2"/>
      </rPr>
      <t>σ</t>
    </r>
  </si>
  <si>
    <r>
      <t>LCS = LC+2*</t>
    </r>
    <r>
      <rPr>
        <b/>
        <sz val="12"/>
        <rFont val="Calibri"/>
        <family val="2"/>
      </rPr>
      <t>σ</t>
    </r>
  </si>
  <si>
    <r>
      <t>LAS = LC+3*</t>
    </r>
    <r>
      <rPr>
        <b/>
        <sz val="12"/>
        <rFont val="Calibri"/>
        <family val="2"/>
      </rPr>
      <t>σ</t>
    </r>
  </si>
  <si>
    <t>TCV (ºC)</t>
  </si>
  <si>
    <t>FORMATO</t>
  </si>
  <si>
    <t>Código</t>
  </si>
  <si>
    <t>Versión</t>
  </si>
  <si>
    <t>CARTA  DE CONTROL</t>
  </si>
  <si>
    <t>CARTA DE CONTROL DE:</t>
  </si>
  <si>
    <t>F-PG-TR-LA-17-39</t>
  </si>
  <si>
    <t>LAS</t>
  </si>
  <si>
    <t>LCS</t>
  </si>
  <si>
    <t>LCI</t>
  </si>
  <si>
    <t>LAI</t>
  </si>
  <si>
    <t>PATRON HC14669855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</si>
</sst>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7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sz val="12"/>
      <name val="Calibri"/>
      <family val="2"/>
    </font>
    <font>
      <b/>
      <sz val="14"/>
      <name val="Arial"/>
      <family val="2"/>
    </font>
    <font>
      <b/>
      <sz val="12"/>
      <color rgb="FFFFFF0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24"/>
      <color rgb="FFFF0000"/>
      <name val="ABB Logo"/>
      <charset val="2"/>
    </font>
  </fonts>
  <fills count="1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7F6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11">
    <xf numFmtId="0" fontId="0" fillId="0" borderId="0" xfId="0"/>
    <xf numFmtId="0" fontId="2" fillId="0" borderId="0" xfId="1"/>
    <xf numFmtId="0" fontId="1" fillId="2" borderId="1" xfId="1" applyFont="1" applyFill="1" applyBorder="1" applyAlignment="1">
      <alignment horizontal="center"/>
    </xf>
    <xf numFmtId="0" fontId="2" fillId="0" borderId="2" xfId="1" applyBorder="1" applyAlignment="1">
      <alignment horizontal="center"/>
    </xf>
    <xf numFmtId="0" fontId="2" fillId="3" borderId="3" xfId="1" applyFill="1" applyBorder="1" applyAlignment="1">
      <alignment horizontal="center"/>
    </xf>
    <xf numFmtId="0" fontId="2" fillId="3" borderId="0" xfId="1" applyFill="1" applyAlignment="1">
      <alignment horizontal="center"/>
    </xf>
    <xf numFmtId="0" fontId="2" fillId="3" borderId="4" xfId="1" applyFill="1" applyBorder="1" applyAlignment="1">
      <alignment horizontal="center"/>
    </xf>
    <xf numFmtId="0" fontId="2" fillId="3" borderId="0" xfId="1" applyFill="1"/>
    <xf numFmtId="0" fontId="6" fillId="4" borderId="1" xfId="1" applyFont="1" applyFill="1" applyBorder="1" applyAlignment="1">
      <alignment horizontal="center"/>
    </xf>
    <xf numFmtId="0" fontId="6" fillId="3" borderId="0" xfId="1" applyFont="1" applyFill="1" applyAlignment="1">
      <alignment horizontal="center"/>
    </xf>
    <xf numFmtId="0" fontId="6" fillId="3" borderId="0" xfId="1" applyFont="1" applyFill="1"/>
    <xf numFmtId="0" fontId="6" fillId="0" borderId="0" xfId="1" applyFont="1"/>
    <xf numFmtId="0" fontId="2" fillId="0" borderId="5" xfId="1" applyBorder="1" applyAlignment="1">
      <alignment horizontal="center"/>
    </xf>
    <xf numFmtId="164" fontId="12" fillId="5" borderId="1" xfId="1" applyNumberFormat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12" fillId="5" borderId="1" xfId="1" applyFont="1" applyFill="1" applyBorder="1" applyAlignment="1">
      <alignment horizontal="center" vertical="center"/>
    </xf>
    <xf numFmtId="0" fontId="7" fillId="0" borderId="0" xfId="1" applyFont="1"/>
    <xf numFmtId="164" fontId="2" fillId="0" borderId="0" xfId="1" applyNumberFormat="1" applyAlignment="1">
      <alignment horizontal="center" vertical="center"/>
    </xf>
    <xf numFmtId="0" fontId="2" fillId="0" borderId="0" xfId="1" applyAlignment="1">
      <alignment horizontal="center" vertical="center"/>
    </xf>
    <xf numFmtId="164" fontId="2" fillId="0" borderId="0" xfId="1" applyNumberFormat="1" applyAlignment="1">
      <alignment horizontal="center"/>
    </xf>
    <xf numFmtId="164" fontId="2" fillId="0" borderId="0" xfId="1" applyNumberFormat="1"/>
    <xf numFmtId="0" fontId="7" fillId="0" borderId="6" xfId="1" applyFont="1" applyBorder="1" applyAlignment="1">
      <alignment horizontal="center"/>
    </xf>
    <xf numFmtId="0" fontId="6" fillId="0" borderId="0" xfId="1" applyFont="1" applyAlignment="1">
      <alignment vertical="center"/>
    </xf>
    <xf numFmtId="0" fontId="8" fillId="0" borderId="7" xfId="1" applyFont="1" applyBorder="1" applyAlignment="1">
      <alignment vertical="center"/>
    </xf>
    <xf numFmtId="0" fontId="8" fillId="0" borderId="7" xfId="1" applyFont="1" applyBorder="1"/>
    <xf numFmtId="0" fontId="2" fillId="0" borderId="7" xfId="1" applyBorder="1"/>
    <xf numFmtId="0" fontId="5" fillId="0" borderId="8" xfId="1" applyFont="1" applyBorder="1" applyAlignment="1">
      <alignment horizontal="center"/>
    </xf>
    <xf numFmtId="0" fontId="5" fillId="0" borderId="9" xfId="1" applyFont="1" applyBorder="1" applyAlignment="1">
      <alignment horizontal="center"/>
    </xf>
    <xf numFmtId="0" fontId="5" fillId="0" borderId="10" xfId="1" applyFont="1" applyBorder="1" applyAlignment="1">
      <alignment horizontal="center"/>
    </xf>
    <xf numFmtId="0" fontId="5" fillId="0" borderId="0" xfId="1" applyFont="1"/>
    <xf numFmtId="14" fontId="9" fillId="0" borderId="0" xfId="1" applyNumberFormat="1" applyFont="1" applyAlignment="1">
      <alignment horizontal="left"/>
    </xf>
    <xf numFmtId="0" fontId="9" fillId="0" borderId="0" xfId="1" applyFont="1" applyAlignment="1">
      <alignment horizontal="left"/>
    </xf>
    <xf numFmtId="0" fontId="9" fillId="0" borderId="0" xfId="1" applyFont="1"/>
    <xf numFmtId="14" fontId="9" fillId="0" borderId="0" xfId="1" applyNumberFormat="1" applyFont="1"/>
    <xf numFmtId="0" fontId="13" fillId="0" borderId="0" xfId="1" applyFont="1"/>
    <xf numFmtId="0" fontId="13" fillId="0" borderId="6" xfId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3" fillId="0" borderId="0" xfId="0" applyFont="1" applyAlignment="1">
      <alignment horizontal="left" vertical="top"/>
    </xf>
    <xf numFmtId="0" fontId="14" fillId="0" borderId="0" xfId="1" applyFont="1" applyAlignment="1">
      <alignment horizontal="center" vertical="center" wrapText="1"/>
    </xf>
    <xf numFmtId="0" fontId="13" fillId="6" borderId="6" xfId="1" applyFont="1" applyFill="1" applyBorder="1" applyAlignment="1">
      <alignment horizontal="center" vertical="center"/>
    </xf>
    <xf numFmtId="0" fontId="14" fillId="7" borderId="8" xfId="1" applyFont="1" applyFill="1" applyBorder="1" applyAlignment="1">
      <alignment horizontal="center" vertical="center" wrapText="1"/>
    </xf>
    <xf numFmtId="0" fontId="14" fillId="8" borderId="8" xfId="1" applyFont="1" applyFill="1" applyBorder="1" applyAlignment="1">
      <alignment horizontal="center" vertical="center" wrapText="1"/>
    </xf>
    <xf numFmtId="0" fontId="14" fillId="9" borderId="8" xfId="1" applyFont="1" applyFill="1" applyBorder="1" applyAlignment="1">
      <alignment horizontal="center" vertical="center" wrapText="1"/>
    </xf>
    <xf numFmtId="0" fontId="14" fillId="7" borderId="11" xfId="1" applyFont="1" applyFill="1" applyBorder="1" applyAlignment="1">
      <alignment horizontal="center" vertical="center" wrapText="1"/>
    </xf>
    <xf numFmtId="0" fontId="14" fillId="8" borderId="11" xfId="1" applyFont="1" applyFill="1" applyBorder="1" applyAlignment="1">
      <alignment horizontal="center" vertical="center" wrapText="1"/>
    </xf>
    <xf numFmtId="0" fontId="14" fillId="9" borderId="11" xfId="1" applyFont="1" applyFill="1" applyBorder="1" applyAlignment="1">
      <alignment horizontal="center" vertical="center" wrapText="1"/>
    </xf>
    <xf numFmtId="164" fontId="14" fillId="10" borderId="6" xfId="1" applyNumberFormat="1" applyFont="1" applyFill="1" applyBorder="1" applyAlignment="1">
      <alignment horizontal="center" vertical="center"/>
    </xf>
    <xf numFmtId="164" fontId="4" fillId="0" borderId="8" xfId="1" applyNumberFormat="1" applyFont="1" applyBorder="1" applyAlignment="1">
      <alignment vertical="center"/>
    </xf>
    <xf numFmtId="0" fontId="5" fillId="0" borderId="0" xfId="1" applyFont="1" applyAlignment="1">
      <alignment horizontal="center"/>
    </xf>
    <xf numFmtId="164" fontId="14" fillId="7" borderId="6" xfId="1" applyNumberFormat="1" applyFont="1" applyFill="1" applyBorder="1" applyAlignment="1" applyProtection="1">
      <alignment horizontal="center" vertical="center" wrapText="1"/>
      <protection hidden="1"/>
    </xf>
    <xf numFmtId="164" fontId="14" fillId="8" borderId="6" xfId="1" applyNumberFormat="1" applyFont="1" applyFill="1" applyBorder="1" applyAlignment="1" applyProtection="1">
      <alignment horizontal="center" vertical="center" wrapText="1"/>
      <protection hidden="1"/>
    </xf>
    <xf numFmtId="164" fontId="14" fillId="9" borderId="6" xfId="1" applyNumberFormat="1" applyFont="1" applyFill="1" applyBorder="1" applyAlignment="1" applyProtection="1">
      <alignment horizontal="center" vertical="center" wrapText="1"/>
      <protection hidden="1"/>
    </xf>
    <xf numFmtId="0" fontId="13" fillId="6" borderId="12" xfId="1" applyFont="1" applyFill="1" applyBorder="1" applyAlignment="1" applyProtection="1">
      <alignment horizontal="center" vertical="center"/>
      <protection locked="0"/>
    </xf>
    <xf numFmtId="164" fontId="15" fillId="11" borderId="6" xfId="1" applyNumberFormat="1" applyFont="1" applyFill="1" applyBorder="1" applyAlignment="1" applyProtection="1">
      <alignment horizontal="center" vertical="center"/>
      <protection locked="0"/>
    </xf>
    <xf numFmtId="0" fontId="13" fillId="6" borderId="6" xfId="1" applyFont="1" applyFill="1" applyBorder="1" applyAlignment="1" applyProtection="1">
      <alignment horizontal="center" vertical="center"/>
      <protection locked="0"/>
    </xf>
    <xf numFmtId="164" fontId="4" fillId="0" borderId="6" xfId="1" applyNumberFormat="1" applyFont="1" applyBorder="1" applyAlignment="1">
      <alignment vertical="center"/>
    </xf>
    <xf numFmtId="0" fontId="1" fillId="0" borderId="0" xfId="1" applyFont="1"/>
    <xf numFmtId="0" fontId="1" fillId="7" borderId="0" xfId="1" applyFont="1" applyFill="1" applyAlignment="1">
      <alignment horizontal="center" vertical="center"/>
    </xf>
    <xf numFmtId="164" fontId="1" fillId="7" borderId="0" xfId="1" applyNumberFormat="1" applyFont="1" applyFill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0" xfId="1" applyFont="1" applyAlignment="1">
      <alignment horizontal="left"/>
    </xf>
    <xf numFmtId="0" fontId="2" fillId="0" borderId="0" xfId="1" applyAlignment="1">
      <alignment horizontal="center"/>
    </xf>
    <xf numFmtId="0" fontId="4" fillId="0" borderId="12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9" fillId="0" borderId="12" xfId="1" applyFont="1" applyBorder="1" applyAlignment="1">
      <alignment horizontal="center" vertical="center"/>
    </xf>
    <xf numFmtId="0" fontId="9" fillId="0" borderId="15" xfId="1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0" borderId="7" xfId="1" applyBorder="1" applyAlignment="1">
      <alignment horizontal="center" vertical="center"/>
    </xf>
    <xf numFmtId="0" fontId="5" fillId="0" borderId="9" xfId="1" applyFont="1" applyBorder="1" applyAlignment="1">
      <alignment horizontal="center"/>
    </xf>
    <xf numFmtId="0" fontId="5" fillId="0" borderId="20" xfId="1" applyFont="1" applyBorder="1" applyAlignment="1">
      <alignment horizontal="center"/>
    </xf>
    <xf numFmtId="0" fontId="5" fillId="0" borderId="10" xfId="1" applyFont="1" applyBorder="1" applyAlignment="1">
      <alignment horizontal="center"/>
    </xf>
    <xf numFmtId="0" fontId="5" fillId="0" borderId="21" xfId="1" applyFont="1" applyBorder="1" applyAlignment="1">
      <alignment horizontal="center"/>
    </xf>
    <xf numFmtId="0" fontId="5" fillId="0" borderId="7" xfId="1" applyFont="1" applyBorder="1" applyAlignment="1">
      <alignment horizontal="center"/>
    </xf>
    <xf numFmtId="0" fontId="5" fillId="0" borderId="22" xfId="1" applyFont="1" applyBorder="1" applyAlignment="1">
      <alignment horizontal="center"/>
    </xf>
    <xf numFmtId="0" fontId="6" fillId="0" borderId="0" xfId="1" applyFont="1" applyAlignment="1">
      <alignment horizontal="right" vertical="center"/>
    </xf>
    <xf numFmtId="0" fontId="6" fillId="0" borderId="23" xfId="1" applyFont="1" applyBorder="1" applyAlignment="1">
      <alignment horizontal="right" vertical="center"/>
    </xf>
    <xf numFmtId="0" fontId="6" fillId="0" borderId="24" xfId="1" applyFont="1" applyBorder="1" applyAlignment="1">
      <alignment horizontal="right" vertical="center"/>
    </xf>
    <xf numFmtId="0" fontId="1" fillId="0" borderId="0" xfId="1" applyFont="1" applyAlignment="1">
      <alignment horizontal="right" vertical="center"/>
    </xf>
    <xf numFmtId="0" fontId="1" fillId="0" borderId="0" xfId="1" applyFont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0" fontId="14" fillId="12" borderId="8" xfId="1" applyFont="1" applyFill="1" applyBorder="1" applyAlignment="1">
      <alignment horizontal="center" vertical="center" wrapText="1"/>
    </xf>
    <xf numFmtId="0" fontId="14" fillId="12" borderId="11" xfId="1" applyFont="1" applyFill="1" applyBorder="1" applyAlignment="1">
      <alignment horizontal="center" vertical="center" wrapText="1"/>
    </xf>
    <xf numFmtId="0" fontId="14" fillId="6" borderId="8" xfId="1" applyFont="1" applyFill="1" applyBorder="1" applyAlignment="1">
      <alignment horizontal="center" vertical="center" wrapText="1"/>
    </xf>
    <xf numFmtId="0" fontId="14" fillId="6" borderId="25" xfId="1" applyFont="1" applyFill="1" applyBorder="1" applyAlignment="1">
      <alignment horizontal="center" vertical="center" wrapText="1"/>
    </xf>
    <xf numFmtId="0" fontId="14" fillId="6" borderId="11" xfId="1" applyFont="1" applyFill="1" applyBorder="1" applyAlignment="1">
      <alignment horizontal="center" vertical="center" wrapText="1"/>
    </xf>
    <xf numFmtId="0" fontId="14" fillId="6" borderId="8" xfId="1" applyFont="1" applyFill="1" applyBorder="1" applyAlignment="1" applyProtection="1">
      <alignment horizontal="center" vertical="center" wrapText="1"/>
      <protection locked="0"/>
    </xf>
    <xf numFmtId="0" fontId="14" fillId="6" borderId="25" xfId="1" applyFont="1" applyFill="1" applyBorder="1" applyAlignment="1" applyProtection="1">
      <alignment horizontal="center" vertical="center" wrapText="1"/>
      <protection locked="0"/>
    </xf>
    <xf numFmtId="0" fontId="14" fillId="6" borderId="11" xfId="1" applyFont="1" applyFill="1" applyBorder="1" applyAlignment="1" applyProtection="1">
      <alignment horizontal="center" vertical="center" wrapText="1"/>
      <protection locked="0"/>
    </xf>
    <xf numFmtId="0" fontId="14" fillId="10" borderId="8" xfId="1" applyFont="1" applyFill="1" applyBorder="1" applyAlignment="1" applyProtection="1">
      <alignment horizontal="center" vertical="center" wrapText="1"/>
      <protection locked="0"/>
    </xf>
    <xf numFmtId="0" fontId="14" fillId="10" borderId="25" xfId="1" applyFont="1" applyFill="1" applyBorder="1" applyAlignment="1" applyProtection="1">
      <alignment horizontal="center" vertical="center" wrapText="1"/>
      <protection locked="0"/>
    </xf>
    <xf numFmtId="0" fontId="14" fillId="10" borderId="11" xfId="1" applyFont="1" applyFill="1" applyBorder="1" applyAlignment="1" applyProtection="1">
      <alignment horizontal="center" vertical="center" wrapText="1"/>
      <protection locked="0"/>
    </xf>
    <xf numFmtId="0" fontId="3" fillId="13" borderId="26" xfId="1" applyFont="1" applyFill="1" applyBorder="1" applyAlignment="1">
      <alignment horizontal="center" vertical="center"/>
    </xf>
    <xf numFmtId="0" fontId="3" fillId="13" borderId="2" xfId="1" applyFont="1" applyFill="1" applyBorder="1" applyAlignment="1">
      <alignment horizontal="center" vertical="center"/>
    </xf>
    <xf numFmtId="0" fontId="3" fillId="13" borderId="27" xfId="1" applyFont="1" applyFill="1" applyBorder="1" applyAlignment="1">
      <alignment horizontal="center" vertical="center"/>
    </xf>
    <xf numFmtId="0" fontId="3" fillId="13" borderId="28" xfId="1" applyFont="1" applyFill="1" applyBorder="1" applyAlignment="1">
      <alignment horizontal="center" vertical="center"/>
    </xf>
    <xf numFmtId="0" fontId="3" fillId="13" borderId="5" xfId="1" applyFont="1" applyFill="1" applyBorder="1" applyAlignment="1">
      <alignment horizontal="center" vertical="center"/>
    </xf>
    <xf numFmtId="0" fontId="3" fillId="13" borderId="29" xfId="1" applyFont="1" applyFill="1" applyBorder="1" applyAlignment="1">
      <alignment horizontal="center" vertical="center"/>
    </xf>
    <xf numFmtId="0" fontId="2" fillId="14" borderId="30" xfId="1" applyFill="1" applyBorder="1" applyAlignment="1">
      <alignment horizontal="center" vertical="center" wrapText="1"/>
    </xf>
    <xf numFmtId="0" fontId="2" fillId="14" borderId="31" xfId="1" applyFill="1" applyBorder="1" applyAlignment="1">
      <alignment horizontal="center" vertical="center" wrapText="1"/>
    </xf>
    <xf numFmtId="0" fontId="1" fillId="14" borderId="30" xfId="1" applyFont="1" applyFill="1" applyBorder="1" applyAlignment="1">
      <alignment horizontal="center" vertical="center"/>
    </xf>
    <xf numFmtId="0" fontId="1" fillId="14" borderId="3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798909134726714E-2"/>
          <c:y val="8.6630284326851076E-2"/>
          <c:w val="0.90084286018769311"/>
          <c:h val="0.76185595316435595"/>
        </c:manualLayout>
      </c:layout>
      <c:scatterChart>
        <c:scatterStyle val="lineMarker"/>
        <c:varyColors val="0"/>
        <c:ser>
          <c:idx val="6"/>
          <c:order val="0"/>
          <c:tx>
            <c:v>LC=21.9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31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</c:numLit>
          </c:xVal>
          <c:yVal>
            <c:numLit>
              <c:formatCode>0.0</c:formatCode>
              <c:ptCount val="30"/>
              <c:pt idx="0">
                <c:v>23.7</c:v>
              </c:pt>
              <c:pt idx="1">
                <c:v>23.7</c:v>
              </c:pt>
              <c:pt idx="2">
                <c:v>23.7</c:v>
              </c:pt>
              <c:pt idx="3">
                <c:v>23.7</c:v>
              </c:pt>
              <c:pt idx="4">
                <c:v>23.7</c:v>
              </c:pt>
              <c:pt idx="5">
                <c:v>23.7</c:v>
              </c:pt>
              <c:pt idx="6">
                <c:v>23.7</c:v>
              </c:pt>
              <c:pt idx="7">
                <c:v>23.7</c:v>
              </c:pt>
              <c:pt idx="8">
                <c:v>23.7</c:v>
              </c:pt>
              <c:pt idx="9">
                <c:v>23.7</c:v>
              </c:pt>
              <c:pt idx="10">
                <c:v>23.7</c:v>
              </c:pt>
              <c:pt idx="11">
                <c:v>23.7</c:v>
              </c:pt>
              <c:pt idx="12">
                <c:v>23.7</c:v>
              </c:pt>
              <c:pt idx="13">
                <c:v>23.7</c:v>
              </c:pt>
              <c:pt idx="14">
                <c:v>23.7</c:v>
              </c:pt>
              <c:pt idx="15">
                <c:v>23.7</c:v>
              </c:pt>
              <c:pt idx="16">
                <c:v>23.7</c:v>
              </c:pt>
              <c:pt idx="17">
                <c:v>23.7</c:v>
              </c:pt>
              <c:pt idx="18">
                <c:v>23.7</c:v>
              </c:pt>
              <c:pt idx="19">
                <c:v>23.7</c:v>
              </c:pt>
              <c:pt idx="20">
                <c:v>23.7</c:v>
              </c:pt>
              <c:pt idx="21">
                <c:v>23.7</c:v>
              </c:pt>
              <c:pt idx="22">
                <c:v>23.7</c:v>
              </c:pt>
              <c:pt idx="23">
                <c:v>23.7</c:v>
              </c:pt>
              <c:pt idx="24">
                <c:v>23.7</c:v>
              </c:pt>
              <c:pt idx="25">
                <c:v>23.7</c:v>
              </c:pt>
              <c:pt idx="26">
                <c:v>23.7</c:v>
              </c:pt>
              <c:pt idx="27">
                <c:v>23.7</c:v>
              </c:pt>
              <c:pt idx="28">
                <c:v>23.7</c:v>
              </c:pt>
              <c:pt idx="29">
                <c:v>23.7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109D-4F43-8000-314010289AA6}"/>
            </c:ext>
          </c:extLst>
        </c:ser>
        <c:ser>
          <c:idx val="1"/>
          <c:order val="1"/>
          <c:tx>
            <c:v>LCI=19.0</c:v>
          </c:tx>
          <c:spPr>
            <a:ln w="25400" cmpd="sng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31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</c:numLit>
          </c:xVal>
          <c:yVal>
            <c:numLit>
              <c:formatCode>0.0</c:formatCode>
              <c:ptCount val="30"/>
              <c:pt idx="0">
                <c:v>22.232419302577103</c:v>
              </c:pt>
              <c:pt idx="1">
                <c:v>22.232419302577103</c:v>
              </c:pt>
              <c:pt idx="2">
                <c:v>22.232419302577103</c:v>
              </c:pt>
              <c:pt idx="3">
                <c:v>22.232419302577103</c:v>
              </c:pt>
              <c:pt idx="4">
                <c:v>22.232419302577103</c:v>
              </c:pt>
              <c:pt idx="5">
                <c:v>22.232419302577103</c:v>
              </c:pt>
              <c:pt idx="6">
                <c:v>22.232419302577103</c:v>
              </c:pt>
              <c:pt idx="7">
                <c:v>22.232419302577103</c:v>
              </c:pt>
              <c:pt idx="8">
                <c:v>22.232419302577103</c:v>
              </c:pt>
              <c:pt idx="9">
                <c:v>22.232419302577103</c:v>
              </c:pt>
              <c:pt idx="10">
                <c:v>22.232419302577103</c:v>
              </c:pt>
              <c:pt idx="11">
                <c:v>22.232419302577103</c:v>
              </c:pt>
              <c:pt idx="12">
                <c:v>22.232419302577103</c:v>
              </c:pt>
              <c:pt idx="13">
                <c:v>22.232419302577103</c:v>
              </c:pt>
              <c:pt idx="14">
                <c:v>22.232419302577103</c:v>
              </c:pt>
              <c:pt idx="15">
                <c:v>22.232419302577103</c:v>
              </c:pt>
              <c:pt idx="16">
                <c:v>22.232419302577103</c:v>
              </c:pt>
              <c:pt idx="17">
                <c:v>22.232419302577103</c:v>
              </c:pt>
              <c:pt idx="18">
                <c:v>22.232419302577103</c:v>
              </c:pt>
              <c:pt idx="19">
                <c:v>22.232419302577103</c:v>
              </c:pt>
              <c:pt idx="20">
                <c:v>22.232419302577103</c:v>
              </c:pt>
              <c:pt idx="21">
                <c:v>22.232419302577103</c:v>
              </c:pt>
              <c:pt idx="22">
                <c:v>22.232419302577103</c:v>
              </c:pt>
              <c:pt idx="23">
                <c:v>22.232419302577103</c:v>
              </c:pt>
              <c:pt idx="24">
                <c:v>22.232419302577103</c:v>
              </c:pt>
              <c:pt idx="25">
                <c:v>22.232419302577103</c:v>
              </c:pt>
              <c:pt idx="26">
                <c:v>22.232419302577103</c:v>
              </c:pt>
              <c:pt idx="27">
                <c:v>22.232419302577103</c:v>
              </c:pt>
              <c:pt idx="28">
                <c:v>22.232419302577103</c:v>
              </c:pt>
              <c:pt idx="29">
                <c:v>22.232419302577103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09D-4F43-8000-314010289AA6}"/>
            </c:ext>
          </c:extLst>
        </c:ser>
        <c:ser>
          <c:idx val="2"/>
          <c:order val="2"/>
          <c:tx>
            <c:v>LCS=24.7</c:v>
          </c:tx>
          <c:spPr>
            <a:ln w="22225" cmpd="sng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31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</c:numLit>
          </c:xVal>
          <c:yVal>
            <c:numLit>
              <c:formatCode>0.0</c:formatCode>
              <c:ptCount val="30"/>
              <c:pt idx="0">
                <c:v>25.167580697422895</c:v>
              </c:pt>
              <c:pt idx="1">
                <c:v>25.167580697422895</c:v>
              </c:pt>
              <c:pt idx="2">
                <c:v>25.167580697422895</c:v>
              </c:pt>
              <c:pt idx="3">
                <c:v>25.167580697422895</c:v>
              </c:pt>
              <c:pt idx="4">
                <c:v>25.167580697422895</c:v>
              </c:pt>
              <c:pt idx="5">
                <c:v>25.167580697422895</c:v>
              </c:pt>
              <c:pt idx="6">
                <c:v>25.167580697422895</c:v>
              </c:pt>
              <c:pt idx="7">
                <c:v>25.167580697422895</c:v>
              </c:pt>
              <c:pt idx="8">
                <c:v>25.167580697422895</c:v>
              </c:pt>
              <c:pt idx="9">
                <c:v>25.167580697422895</c:v>
              </c:pt>
              <c:pt idx="10">
                <c:v>25.167580697422895</c:v>
              </c:pt>
              <c:pt idx="11">
                <c:v>25.167580697422895</c:v>
              </c:pt>
              <c:pt idx="12">
                <c:v>25.167580697422895</c:v>
              </c:pt>
              <c:pt idx="13">
                <c:v>25.167580697422895</c:v>
              </c:pt>
              <c:pt idx="14">
                <c:v>25.167580697422895</c:v>
              </c:pt>
              <c:pt idx="15">
                <c:v>25.167580697422895</c:v>
              </c:pt>
              <c:pt idx="16">
                <c:v>25.167580697422895</c:v>
              </c:pt>
              <c:pt idx="17">
                <c:v>25.167580697422895</c:v>
              </c:pt>
              <c:pt idx="18">
                <c:v>25.167580697422895</c:v>
              </c:pt>
              <c:pt idx="19">
                <c:v>25.167580697422895</c:v>
              </c:pt>
              <c:pt idx="20">
                <c:v>25.167580697422895</c:v>
              </c:pt>
              <c:pt idx="21">
                <c:v>25.167580697422895</c:v>
              </c:pt>
              <c:pt idx="22">
                <c:v>25.167580697422895</c:v>
              </c:pt>
              <c:pt idx="23">
                <c:v>25.167580697422895</c:v>
              </c:pt>
              <c:pt idx="24">
                <c:v>25.167580697422895</c:v>
              </c:pt>
              <c:pt idx="25">
                <c:v>25.167580697422895</c:v>
              </c:pt>
              <c:pt idx="26">
                <c:v>25.167580697422895</c:v>
              </c:pt>
              <c:pt idx="27">
                <c:v>25.167580697422895</c:v>
              </c:pt>
              <c:pt idx="28">
                <c:v>25.167580697422895</c:v>
              </c:pt>
              <c:pt idx="29">
                <c:v>25.167580697422895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109D-4F43-8000-314010289AA6}"/>
            </c:ext>
          </c:extLst>
        </c:ser>
        <c:ser>
          <c:idx val="3"/>
          <c:order val="3"/>
          <c:tx>
            <c:v>LAI=20.0</c:v>
          </c:tx>
          <c:spPr>
            <a:ln w="22225" cmpd="sng">
              <a:solidFill>
                <a:srgbClr val="0033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31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</c:numLit>
          </c:xVal>
          <c:yVal>
            <c:numLit>
              <c:formatCode>0.0</c:formatCode>
              <c:ptCount val="30"/>
              <c:pt idx="0">
                <c:v>22.721612868384735</c:v>
              </c:pt>
              <c:pt idx="1">
                <c:v>22.721612868384735</c:v>
              </c:pt>
              <c:pt idx="2">
                <c:v>22.721612868384735</c:v>
              </c:pt>
              <c:pt idx="3">
                <c:v>22.721612868384735</c:v>
              </c:pt>
              <c:pt idx="4">
                <c:v>22.721612868384735</c:v>
              </c:pt>
              <c:pt idx="5">
                <c:v>22.721612868384735</c:v>
              </c:pt>
              <c:pt idx="6">
                <c:v>22.721612868384735</c:v>
              </c:pt>
              <c:pt idx="7">
                <c:v>22.721612868384735</c:v>
              </c:pt>
              <c:pt idx="8">
                <c:v>22.721612868384735</c:v>
              </c:pt>
              <c:pt idx="9">
                <c:v>22.721612868384735</c:v>
              </c:pt>
              <c:pt idx="10">
                <c:v>22.721612868384735</c:v>
              </c:pt>
              <c:pt idx="11">
                <c:v>22.721612868384735</c:v>
              </c:pt>
              <c:pt idx="12">
                <c:v>22.721612868384735</c:v>
              </c:pt>
              <c:pt idx="13">
                <c:v>22.721612868384735</c:v>
              </c:pt>
              <c:pt idx="14">
                <c:v>22.721612868384735</c:v>
              </c:pt>
              <c:pt idx="15">
                <c:v>22.721612868384735</c:v>
              </c:pt>
              <c:pt idx="16">
                <c:v>22.721612868384735</c:v>
              </c:pt>
              <c:pt idx="17">
                <c:v>22.721612868384735</c:v>
              </c:pt>
              <c:pt idx="18">
                <c:v>22.721612868384735</c:v>
              </c:pt>
              <c:pt idx="19">
                <c:v>22.721612868384735</c:v>
              </c:pt>
              <c:pt idx="20">
                <c:v>22.721612868384735</c:v>
              </c:pt>
              <c:pt idx="21">
                <c:v>22.721612868384735</c:v>
              </c:pt>
              <c:pt idx="22">
                <c:v>22.721612868384735</c:v>
              </c:pt>
              <c:pt idx="23">
                <c:v>22.721612868384735</c:v>
              </c:pt>
              <c:pt idx="24">
                <c:v>22.721612868384735</c:v>
              </c:pt>
              <c:pt idx="25">
                <c:v>22.721612868384735</c:v>
              </c:pt>
              <c:pt idx="26">
                <c:v>22.721612868384735</c:v>
              </c:pt>
              <c:pt idx="27">
                <c:v>22.721612868384735</c:v>
              </c:pt>
              <c:pt idx="28">
                <c:v>22.721612868384735</c:v>
              </c:pt>
              <c:pt idx="29">
                <c:v>22.721612868384735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109D-4F43-8000-314010289AA6}"/>
            </c:ext>
          </c:extLst>
        </c:ser>
        <c:ser>
          <c:idx val="4"/>
          <c:order val="4"/>
          <c:tx>
            <c:v>LAS=23.8</c:v>
          </c:tx>
          <c:spPr>
            <a:ln w="22225">
              <a:solidFill>
                <a:srgbClr val="003300">
                  <a:alpha val="99000"/>
                </a:srgbClr>
              </a:solidFill>
            </a:ln>
          </c:spPr>
          <c:marker>
            <c:symbol val="none"/>
          </c:marker>
          <c:xVal>
            <c:numLit>
              <c:formatCode>General</c:formatCode>
              <c:ptCount val="31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</c:numLit>
          </c:xVal>
          <c:yVal>
            <c:numLit>
              <c:formatCode>0.0</c:formatCode>
              <c:ptCount val="30"/>
              <c:pt idx="0">
                <c:v>24.678387131615263</c:v>
              </c:pt>
              <c:pt idx="1">
                <c:v>24.678387131615263</c:v>
              </c:pt>
              <c:pt idx="2">
                <c:v>24.678387131615263</c:v>
              </c:pt>
              <c:pt idx="3">
                <c:v>24.678387131615263</c:v>
              </c:pt>
              <c:pt idx="4">
                <c:v>24.678387131615263</c:v>
              </c:pt>
              <c:pt idx="5">
                <c:v>24.678387131615263</c:v>
              </c:pt>
              <c:pt idx="6">
                <c:v>24.678387131615263</c:v>
              </c:pt>
              <c:pt idx="7">
                <c:v>24.678387131615263</c:v>
              </c:pt>
              <c:pt idx="8">
                <c:v>24.678387131615263</c:v>
              </c:pt>
              <c:pt idx="9">
                <c:v>24.678387131615263</c:v>
              </c:pt>
              <c:pt idx="10">
                <c:v>24.678387131615263</c:v>
              </c:pt>
              <c:pt idx="11">
                <c:v>24.678387131615263</c:v>
              </c:pt>
              <c:pt idx="12">
                <c:v>24.678387131615263</c:v>
              </c:pt>
              <c:pt idx="13">
                <c:v>24.678387131615263</c:v>
              </c:pt>
              <c:pt idx="14">
                <c:v>24.678387131615263</c:v>
              </c:pt>
              <c:pt idx="15">
                <c:v>24.678387131615263</c:v>
              </c:pt>
              <c:pt idx="16">
                <c:v>24.678387131615263</c:v>
              </c:pt>
              <c:pt idx="17">
                <c:v>24.678387131615263</c:v>
              </c:pt>
              <c:pt idx="18">
                <c:v>24.678387131615263</c:v>
              </c:pt>
              <c:pt idx="19">
                <c:v>24.678387131615263</c:v>
              </c:pt>
              <c:pt idx="20">
                <c:v>24.678387131615263</c:v>
              </c:pt>
              <c:pt idx="21">
                <c:v>24.678387131615263</c:v>
              </c:pt>
              <c:pt idx="22">
                <c:v>24.678387131615263</c:v>
              </c:pt>
              <c:pt idx="23">
                <c:v>24.678387131615263</c:v>
              </c:pt>
              <c:pt idx="24">
                <c:v>24.678387131615263</c:v>
              </c:pt>
              <c:pt idx="25">
                <c:v>24.678387131615263</c:v>
              </c:pt>
              <c:pt idx="26">
                <c:v>24.678387131615263</c:v>
              </c:pt>
              <c:pt idx="27">
                <c:v>24.678387131615263</c:v>
              </c:pt>
              <c:pt idx="28">
                <c:v>24.678387131615263</c:v>
              </c:pt>
              <c:pt idx="29">
                <c:v>24.678387131615263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109D-4F43-8000-314010289AA6}"/>
            </c:ext>
          </c:extLst>
        </c:ser>
        <c:ser>
          <c:idx val="0"/>
          <c:order val="5"/>
          <c:spPr>
            <a:ln w="19050" cap="sq">
              <a:solidFill>
                <a:srgbClr val="FF00FF"/>
              </a:solidFill>
              <a:prstDash val="sysDot"/>
              <a:bevel/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solidFill>
                  <a:srgbClr val="000000"/>
                </a:solidFill>
              </a:ln>
            </c:spPr>
          </c:marker>
          <c:xVal>
            <c:numLit>
              <c:formatCode>General</c:formatCode>
              <c:ptCount val="3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</c:numLit>
          </c:xVal>
          <c:yVal>
            <c:numRef>
              <c:f>'Carta control'!$D$7:$AG$7</c:f>
              <c:numCache>
                <c:formatCode>0.0</c:formatCode>
                <c:ptCount val="30"/>
                <c:pt idx="0">
                  <c:v>24.4</c:v>
                </c:pt>
                <c:pt idx="1">
                  <c:v>24.2</c:v>
                </c:pt>
                <c:pt idx="2">
                  <c:v>24.3</c:v>
                </c:pt>
                <c:pt idx="3">
                  <c:v>23.9</c:v>
                </c:pt>
                <c:pt idx="4">
                  <c:v>24.1</c:v>
                </c:pt>
                <c:pt idx="5">
                  <c:v>24.4</c:v>
                </c:pt>
                <c:pt idx="6">
                  <c:v>24.2</c:v>
                </c:pt>
                <c:pt idx="7">
                  <c:v>24.3</c:v>
                </c:pt>
                <c:pt idx="8">
                  <c:v>23.9</c:v>
                </c:pt>
                <c:pt idx="9">
                  <c:v>24.1</c:v>
                </c:pt>
                <c:pt idx="10">
                  <c:v>24.4</c:v>
                </c:pt>
                <c:pt idx="11">
                  <c:v>24.2</c:v>
                </c:pt>
                <c:pt idx="12">
                  <c:v>24.3</c:v>
                </c:pt>
                <c:pt idx="13">
                  <c:v>23.9</c:v>
                </c:pt>
                <c:pt idx="14">
                  <c:v>24.1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9D-4F43-8000-314010289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185712"/>
        <c:axId val="1"/>
      </c:scatterChart>
      <c:valAx>
        <c:axId val="867185712"/>
        <c:scaling>
          <c:orientation val="minMax"/>
          <c:max val="30"/>
          <c:min val="1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2"/>
        <c:crossBetween val="midCat"/>
        <c:majorUnit val="1"/>
        <c:minorUnit val="1"/>
      </c:valAx>
      <c:valAx>
        <c:axId val="1"/>
        <c:scaling>
          <c:orientation val="minMax"/>
          <c:max val="25.5"/>
          <c:min val="22.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#,##0.0" sourceLinked="0"/>
        <c:majorTickMark val="out"/>
        <c:minorTickMark val="out"/>
        <c:tickLblPos val="nextTo"/>
        <c:spPr>
          <a:ln w="12700" cmpd="sng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7185712"/>
        <c:crossesAt val="1"/>
        <c:crossBetween val="midCat"/>
        <c:majorUnit val="0.5"/>
        <c:minorUnit val="0.1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" footer="0"/>
    <c:pageSetup paperSize="9"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798909134726755E-2"/>
          <c:y val="0.12121231000222725"/>
          <c:w val="0.82557765593092236"/>
          <c:h val="0.72727386001336369"/>
        </c:manualLayout>
      </c:layout>
      <c:scatterChart>
        <c:scatterStyle val="lineMarker"/>
        <c:varyColors val="0"/>
        <c:ser>
          <c:idx val="6"/>
          <c:order val="0"/>
          <c:tx>
            <c:v>LC=21.9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31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</c:numLit>
          </c:xVal>
          <c:yVal>
            <c:numLit>
              <c:formatCode>General</c:formatCode>
              <c:ptCount val="31"/>
              <c:pt idx="0">
                <c:v>22.9548387096774</c:v>
              </c:pt>
              <c:pt idx="1">
                <c:v>22.9548387096774</c:v>
              </c:pt>
              <c:pt idx="2">
                <c:v>22.9548387096774</c:v>
              </c:pt>
              <c:pt idx="3">
                <c:v>22.9548387096774</c:v>
              </c:pt>
              <c:pt idx="4">
                <c:v>22.9548387096774</c:v>
              </c:pt>
              <c:pt idx="5">
                <c:v>22.9548387096774</c:v>
              </c:pt>
              <c:pt idx="6">
                <c:v>22.9548387096774</c:v>
              </c:pt>
              <c:pt idx="7">
                <c:v>22.9548387096774</c:v>
              </c:pt>
              <c:pt idx="8">
                <c:v>22.9548387096774</c:v>
              </c:pt>
              <c:pt idx="9">
                <c:v>22.9548387096774</c:v>
              </c:pt>
              <c:pt idx="10">
                <c:v>22.9548387096774</c:v>
              </c:pt>
              <c:pt idx="11">
                <c:v>22.9548387096774</c:v>
              </c:pt>
              <c:pt idx="12">
                <c:v>22.9548387096774</c:v>
              </c:pt>
              <c:pt idx="13">
                <c:v>22.9548387096774</c:v>
              </c:pt>
              <c:pt idx="14">
                <c:v>22.9548387096774</c:v>
              </c:pt>
              <c:pt idx="15">
                <c:v>22.9548387096774</c:v>
              </c:pt>
              <c:pt idx="16">
                <c:v>22.9548387096774</c:v>
              </c:pt>
              <c:pt idx="17">
                <c:v>22.9548387096774</c:v>
              </c:pt>
              <c:pt idx="18">
                <c:v>22.9548387096774</c:v>
              </c:pt>
              <c:pt idx="19">
                <c:v>22.9548387096774</c:v>
              </c:pt>
              <c:pt idx="20">
                <c:v>22.9548387096774</c:v>
              </c:pt>
              <c:pt idx="21">
                <c:v>22.9548387096774</c:v>
              </c:pt>
              <c:pt idx="22">
                <c:v>22.9548387096774</c:v>
              </c:pt>
              <c:pt idx="23">
                <c:v>22.9548387096774</c:v>
              </c:pt>
              <c:pt idx="24">
                <c:v>22.9548387096774</c:v>
              </c:pt>
              <c:pt idx="25">
                <c:v>22.9548387096774</c:v>
              </c:pt>
              <c:pt idx="26">
                <c:v>22.9548387096774</c:v>
              </c:pt>
              <c:pt idx="27">
                <c:v>22.9548387096774</c:v>
              </c:pt>
              <c:pt idx="28">
                <c:v>22.9548387096774</c:v>
              </c:pt>
              <c:pt idx="29">
                <c:v>22.9548387096774</c:v>
              </c:pt>
              <c:pt idx="30">
                <c:v>22.9548387096774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89CF-4995-9540-37559F6A8E97}"/>
            </c:ext>
          </c:extLst>
        </c:ser>
        <c:ser>
          <c:idx val="1"/>
          <c:order val="1"/>
          <c:tx>
            <c:v>LCI=19.0</c:v>
          </c:tx>
          <c:spPr>
            <a:ln w="25400" cmpd="sng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31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</c:numLit>
          </c:xVal>
          <c:yVal>
            <c:numLit>
              <c:formatCode>General</c:formatCode>
              <c:ptCount val="31"/>
              <c:pt idx="0">
                <c:v>20.296449675306299</c:v>
              </c:pt>
              <c:pt idx="1">
                <c:v>20.296449675306299</c:v>
              </c:pt>
              <c:pt idx="2">
                <c:v>20.296449675306299</c:v>
              </c:pt>
              <c:pt idx="3">
                <c:v>20.296449675306299</c:v>
              </c:pt>
              <c:pt idx="4">
                <c:v>20.296449675306299</c:v>
              </c:pt>
              <c:pt idx="5">
                <c:v>20.296449675306299</c:v>
              </c:pt>
              <c:pt idx="6">
                <c:v>20.296449675306299</c:v>
              </c:pt>
              <c:pt idx="7">
                <c:v>20.296449675306299</c:v>
              </c:pt>
              <c:pt idx="8">
                <c:v>20.296449675306299</c:v>
              </c:pt>
              <c:pt idx="9">
                <c:v>20.296449675306299</c:v>
              </c:pt>
              <c:pt idx="10">
                <c:v>20.296449675306299</c:v>
              </c:pt>
              <c:pt idx="11">
                <c:v>20.296449675306299</c:v>
              </c:pt>
              <c:pt idx="12">
                <c:v>20.296449675306299</c:v>
              </c:pt>
              <c:pt idx="13">
                <c:v>20.296449675306299</c:v>
              </c:pt>
              <c:pt idx="14">
                <c:v>20.296449675306299</c:v>
              </c:pt>
              <c:pt idx="15">
                <c:v>20.296449675306299</c:v>
              </c:pt>
              <c:pt idx="16">
                <c:v>20.296449675306299</c:v>
              </c:pt>
              <c:pt idx="17">
                <c:v>20.296449675306299</c:v>
              </c:pt>
              <c:pt idx="18">
                <c:v>20.296449675306299</c:v>
              </c:pt>
              <c:pt idx="19">
                <c:v>20.296449675306299</c:v>
              </c:pt>
              <c:pt idx="20">
                <c:v>20.296449675306299</c:v>
              </c:pt>
              <c:pt idx="21">
                <c:v>20.296449675306299</c:v>
              </c:pt>
              <c:pt idx="22">
                <c:v>20.296449675306299</c:v>
              </c:pt>
              <c:pt idx="23">
                <c:v>20.296449675306299</c:v>
              </c:pt>
              <c:pt idx="24">
                <c:v>20.296449675306299</c:v>
              </c:pt>
              <c:pt idx="25">
                <c:v>20.296449675306299</c:v>
              </c:pt>
              <c:pt idx="26">
                <c:v>20.296449675306299</c:v>
              </c:pt>
              <c:pt idx="27">
                <c:v>20.296449675306299</c:v>
              </c:pt>
              <c:pt idx="28">
                <c:v>20.296449675306299</c:v>
              </c:pt>
              <c:pt idx="29">
                <c:v>20.296449675306299</c:v>
              </c:pt>
              <c:pt idx="30">
                <c:v>20.296449675306299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9CF-4995-9540-37559F6A8E97}"/>
            </c:ext>
          </c:extLst>
        </c:ser>
        <c:ser>
          <c:idx val="2"/>
          <c:order val="2"/>
          <c:tx>
            <c:v>LCS=24.7</c:v>
          </c:tx>
          <c:spPr>
            <a:ln w="22225" cmpd="sng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31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</c:numLit>
          </c:xVal>
          <c:yVal>
            <c:numLit>
              <c:formatCode>General</c:formatCode>
              <c:ptCount val="31"/>
              <c:pt idx="0">
                <c:v>25.613227744048501</c:v>
              </c:pt>
              <c:pt idx="1">
                <c:v>25.613227744048501</c:v>
              </c:pt>
              <c:pt idx="2">
                <c:v>25.613227744048501</c:v>
              </c:pt>
              <c:pt idx="3">
                <c:v>25.613227744048501</c:v>
              </c:pt>
              <c:pt idx="4">
                <c:v>25.613227744048501</c:v>
              </c:pt>
              <c:pt idx="5">
                <c:v>25.613227744048501</c:v>
              </c:pt>
              <c:pt idx="6">
                <c:v>25.613227744048501</c:v>
              </c:pt>
              <c:pt idx="7">
                <c:v>25.613227744048501</c:v>
              </c:pt>
              <c:pt idx="8">
                <c:v>25.613227744048501</c:v>
              </c:pt>
              <c:pt idx="9">
                <c:v>25.613227744048501</c:v>
              </c:pt>
              <c:pt idx="10">
                <c:v>25.613227744048501</c:v>
              </c:pt>
              <c:pt idx="11">
                <c:v>25.613227744048501</c:v>
              </c:pt>
              <c:pt idx="12">
                <c:v>25.613227744048501</c:v>
              </c:pt>
              <c:pt idx="13">
                <c:v>25.613227744048501</c:v>
              </c:pt>
              <c:pt idx="14">
                <c:v>25.613227744048501</c:v>
              </c:pt>
              <c:pt idx="15">
                <c:v>25.613227744048501</c:v>
              </c:pt>
              <c:pt idx="16">
                <c:v>25.613227744048501</c:v>
              </c:pt>
              <c:pt idx="17">
                <c:v>25.613227744048501</c:v>
              </c:pt>
              <c:pt idx="18">
                <c:v>25.613227744048501</c:v>
              </c:pt>
              <c:pt idx="19">
                <c:v>25.613227744048501</c:v>
              </c:pt>
              <c:pt idx="20">
                <c:v>25.613227744048501</c:v>
              </c:pt>
              <c:pt idx="21">
                <c:v>25.613227744048501</c:v>
              </c:pt>
              <c:pt idx="22">
                <c:v>25.613227744048501</c:v>
              </c:pt>
              <c:pt idx="23">
                <c:v>25.613227744048501</c:v>
              </c:pt>
              <c:pt idx="24">
                <c:v>25.613227744048501</c:v>
              </c:pt>
              <c:pt idx="25">
                <c:v>25.613227744048501</c:v>
              </c:pt>
              <c:pt idx="26">
                <c:v>25.613227744048501</c:v>
              </c:pt>
              <c:pt idx="27">
                <c:v>25.613227744048501</c:v>
              </c:pt>
              <c:pt idx="28">
                <c:v>25.613227744048501</c:v>
              </c:pt>
              <c:pt idx="29">
                <c:v>25.613227744048501</c:v>
              </c:pt>
              <c:pt idx="30">
                <c:v>25.613227744048501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89CF-4995-9540-37559F6A8E97}"/>
            </c:ext>
          </c:extLst>
        </c:ser>
        <c:ser>
          <c:idx val="3"/>
          <c:order val="3"/>
          <c:tx>
            <c:v>LAI=20.0</c:v>
          </c:tx>
          <c:spPr>
            <a:ln w="22225" cmpd="sng">
              <a:solidFill>
                <a:srgbClr val="00330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31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</c:numLit>
          </c:xVal>
          <c:yVal>
            <c:numLit>
              <c:formatCode>General</c:formatCode>
              <c:ptCount val="31"/>
              <c:pt idx="0">
                <c:v>21.18257935343</c:v>
              </c:pt>
              <c:pt idx="1">
                <c:v>21.18257935343</c:v>
              </c:pt>
              <c:pt idx="2">
                <c:v>21.18257935343</c:v>
              </c:pt>
              <c:pt idx="3">
                <c:v>21.18257935343</c:v>
              </c:pt>
              <c:pt idx="4">
                <c:v>21.18257935343</c:v>
              </c:pt>
              <c:pt idx="5">
                <c:v>21.18257935343</c:v>
              </c:pt>
              <c:pt idx="6">
                <c:v>21.18257935343</c:v>
              </c:pt>
              <c:pt idx="7">
                <c:v>21.18257935343</c:v>
              </c:pt>
              <c:pt idx="8">
                <c:v>21.18257935343</c:v>
              </c:pt>
              <c:pt idx="9">
                <c:v>21.18257935343</c:v>
              </c:pt>
              <c:pt idx="10">
                <c:v>21.18257935343</c:v>
              </c:pt>
              <c:pt idx="11">
                <c:v>21.18257935343</c:v>
              </c:pt>
              <c:pt idx="12">
                <c:v>21.18257935343</c:v>
              </c:pt>
              <c:pt idx="13">
                <c:v>21.18257935343</c:v>
              </c:pt>
              <c:pt idx="14">
                <c:v>21.18257935343</c:v>
              </c:pt>
              <c:pt idx="15">
                <c:v>21.18257935343</c:v>
              </c:pt>
              <c:pt idx="16">
                <c:v>21.18257935343</c:v>
              </c:pt>
              <c:pt idx="17">
                <c:v>21.18257935343</c:v>
              </c:pt>
              <c:pt idx="18">
                <c:v>21.18257935343</c:v>
              </c:pt>
              <c:pt idx="19">
                <c:v>21.18257935343</c:v>
              </c:pt>
              <c:pt idx="20">
                <c:v>21.18257935343</c:v>
              </c:pt>
              <c:pt idx="21">
                <c:v>21.18257935343</c:v>
              </c:pt>
              <c:pt idx="22">
                <c:v>21.18257935343</c:v>
              </c:pt>
              <c:pt idx="23">
                <c:v>21.18257935343</c:v>
              </c:pt>
              <c:pt idx="24">
                <c:v>21.18257935343</c:v>
              </c:pt>
              <c:pt idx="25">
                <c:v>21.18257935343</c:v>
              </c:pt>
              <c:pt idx="26">
                <c:v>21.18257935343</c:v>
              </c:pt>
              <c:pt idx="27">
                <c:v>21.18257935343</c:v>
              </c:pt>
              <c:pt idx="28">
                <c:v>21.18257935343</c:v>
              </c:pt>
              <c:pt idx="29">
                <c:v>21.18257935343</c:v>
              </c:pt>
              <c:pt idx="30">
                <c:v>21.18257935343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89CF-4995-9540-37559F6A8E97}"/>
            </c:ext>
          </c:extLst>
        </c:ser>
        <c:ser>
          <c:idx val="4"/>
          <c:order val="4"/>
          <c:tx>
            <c:v>LAS=23.8</c:v>
          </c:tx>
          <c:spPr>
            <a:ln w="22225">
              <a:solidFill>
                <a:srgbClr val="003300"/>
              </a:solidFill>
            </a:ln>
          </c:spPr>
          <c:marker>
            <c:symbol val="none"/>
          </c:marker>
          <c:xVal>
            <c:numLit>
              <c:formatCode>General</c:formatCode>
              <c:ptCount val="31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</c:numLit>
          </c:xVal>
          <c:yVal>
            <c:numLit>
              <c:formatCode>General</c:formatCode>
              <c:ptCount val="31"/>
              <c:pt idx="0">
                <c:v>24.7270980659248</c:v>
              </c:pt>
              <c:pt idx="1">
                <c:v>24.7270980659248</c:v>
              </c:pt>
              <c:pt idx="2">
                <c:v>24.7270980659248</c:v>
              </c:pt>
              <c:pt idx="3">
                <c:v>24.7270980659248</c:v>
              </c:pt>
              <c:pt idx="4">
                <c:v>24.7270980659248</c:v>
              </c:pt>
              <c:pt idx="5">
                <c:v>24.7270980659248</c:v>
              </c:pt>
              <c:pt idx="6">
                <c:v>24.7270980659248</c:v>
              </c:pt>
              <c:pt idx="7">
                <c:v>24.7270980659248</c:v>
              </c:pt>
              <c:pt idx="8">
                <c:v>24.7270980659248</c:v>
              </c:pt>
              <c:pt idx="9">
                <c:v>24.7270980659248</c:v>
              </c:pt>
              <c:pt idx="10">
                <c:v>24.7270980659248</c:v>
              </c:pt>
              <c:pt idx="11">
                <c:v>24.7270980659248</c:v>
              </c:pt>
              <c:pt idx="12">
                <c:v>24.7270980659248</c:v>
              </c:pt>
              <c:pt idx="13">
                <c:v>24.7270980659248</c:v>
              </c:pt>
              <c:pt idx="14">
                <c:v>24.7270980659248</c:v>
              </c:pt>
              <c:pt idx="15">
                <c:v>24.7270980659248</c:v>
              </c:pt>
              <c:pt idx="16">
                <c:v>24.7270980659248</c:v>
              </c:pt>
              <c:pt idx="17">
                <c:v>24.7270980659248</c:v>
              </c:pt>
              <c:pt idx="18">
                <c:v>24.7270980659248</c:v>
              </c:pt>
              <c:pt idx="19">
                <c:v>24.7270980659248</c:v>
              </c:pt>
              <c:pt idx="20">
                <c:v>24.7270980659248</c:v>
              </c:pt>
              <c:pt idx="21">
                <c:v>24.7270980659248</c:v>
              </c:pt>
              <c:pt idx="22">
                <c:v>24.7270980659248</c:v>
              </c:pt>
              <c:pt idx="23">
                <c:v>24.7270980659248</c:v>
              </c:pt>
              <c:pt idx="24">
                <c:v>24.7270980659248</c:v>
              </c:pt>
              <c:pt idx="25">
                <c:v>24.7270980659248</c:v>
              </c:pt>
              <c:pt idx="26">
                <c:v>24.7270980659248</c:v>
              </c:pt>
              <c:pt idx="27">
                <c:v>24.7270980659248</c:v>
              </c:pt>
              <c:pt idx="28">
                <c:v>24.7270980659248</c:v>
              </c:pt>
              <c:pt idx="29">
                <c:v>24.7270980659248</c:v>
              </c:pt>
              <c:pt idx="30">
                <c:v>24.7270980659248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89CF-4995-9540-37559F6A8E97}"/>
            </c:ext>
          </c:extLst>
        </c:ser>
        <c:ser>
          <c:idx val="0"/>
          <c:order val="5"/>
          <c:spPr>
            <a:ln w="19050" cap="sq">
              <a:solidFill>
                <a:srgbClr val="FF00FF"/>
              </a:solidFill>
              <a:prstDash val="sysDot"/>
              <a:bevel/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solidFill>
                  <a:srgbClr val="000000"/>
                </a:solidFill>
              </a:ln>
            </c:spPr>
          </c:marker>
          <c:xVal>
            <c:numLit>
              <c:formatCode>General</c:formatCode>
              <c:ptCount val="3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</c:numLit>
          </c:xVal>
          <c:yVal>
            <c:numLit>
              <c:formatCode>General</c:formatCode>
              <c:ptCount val="30"/>
              <c:pt idx="0">
                <c:v>20</c:v>
              </c:pt>
              <c:pt idx="1">
                <c:v>21.5</c:v>
              </c:pt>
              <c:pt idx="2">
                <c:v>22.6</c:v>
              </c:pt>
              <c:pt idx="3">
                <c:v>23.5</c:v>
              </c:pt>
              <c:pt idx="4">
                <c:v>19.8</c:v>
              </c:pt>
              <c:pt idx="5">
                <c:v>20.399999999999899</c:v>
              </c:pt>
              <c:pt idx="6">
                <c:v>22.5</c:v>
              </c:pt>
              <c:pt idx="7">
                <c:v>23.5</c:v>
              </c:pt>
              <c:pt idx="8">
                <c:v>22.2</c:v>
              </c:pt>
              <c:pt idx="9">
                <c:v>20.9</c:v>
              </c:pt>
              <c:pt idx="10">
                <c:v>19.5</c:v>
              </c:pt>
              <c:pt idx="11">
                <c:v>20.7</c:v>
              </c:pt>
              <c:pt idx="12">
                <c:v>21.8</c:v>
              </c:pt>
              <c:pt idx="13">
                <c:v>21.8</c:v>
              </c:pt>
              <c:pt idx="14">
                <c:v>22.5</c:v>
              </c:pt>
              <c:pt idx="15">
                <c:v>22.5</c:v>
              </c:pt>
              <c:pt idx="16">
                <c:v>22.7</c:v>
              </c:pt>
              <c:pt idx="17">
                <c:v>21.9</c:v>
              </c:pt>
              <c:pt idx="18">
                <c:v>22.8</c:v>
              </c:pt>
              <c:pt idx="19">
                <c:v>22.6</c:v>
              </c:pt>
              <c:pt idx="20">
                <c:v>23.5</c:v>
              </c:pt>
              <c:pt idx="21">
                <c:v>21.8</c:v>
              </c:pt>
              <c:pt idx="22">
                <c:v>22.8</c:v>
              </c:pt>
              <c:pt idx="23">
                <c:v>22.9</c:v>
              </c:pt>
              <c:pt idx="24">
                <c:v>19.7</c:v>
              </c:pt>
              <c:pt idx="25">
                <c:v>19.899999999999899</c:v>
              </c:pt>
              <c:pt idx="26">
                <c:v>20.399999999999899</c:v>
              </c:pt>
              <c:pt idx="27">
                <c:v>19.899999999999899</c:v>
              </c:pt>
              <c:pt idx="28">
                <c:v>22.7</c:v>
              </c:pt>
              <c:pt idx="29">
                <c:v>22.9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89CF-4995-9540-37559F6A8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195552"/>
        <c:axId val="1"/>
      </c:scatterChart>
      <c:valAx>
        <c:axId val="867195552"/>
        <c:scaling>
          <c:orientation val="minMax"/>
          <c:max val="30"/>
          <c:min val="1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0.2"/>
        <c:crossBetween val="midCat"/>
        <c:majorUnit val="1"/>
        <c:minorUnit val="1"/>
      </c:valAx>
      <c:valAx>
        <c:axId val="1"/>
        <c:scaling>
          <c:orientation val="minMax"/>
          <c:max val="25"/>
          <c:min val="18.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#,##0.0" sourceLinked="0"/>
        <c:majorTickMark val="out"/>
        <c:minorTickMark val="out"/>
        <c:tickLblPos val="nextTo"/>
        <c:spPr>
          <a:ln w="12700" cmpd="sng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7195552"/>
        <c:crossesAt val="1"/>
        <c:crossBetween val="midCat"/>
        <c:majorUnit val="0.5"/>
        <c:minorUnit val="0.1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0"/>
        <c:txPr>
          <a:bodyPr/>
          <a:lstStyle/>
          <a:p>
            <a:pPr>
              <a:defRPr sz="5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5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5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egendEntry>
        <c:idx val="3"/>
        <c:txPr>
          <a:bodyPr/>
          <a:lstStyle/>
          <a:p>
            <a:pPr>
              <a:defRPr sz="5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egendEntry>
        <c:idx val="4"/>
        <c:txPr>
          <a:bodyPr/>
          <a:lstStyle/>
          <a:p>
            <a:pPr>
              <a:defRPr sz="5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9.0301040588738946E-2"/>
          <c:y val="1.1644832605531296E-2"/>
          <c:w val="0.79197354666890774"/>
          <c:h val="5.0946142649199416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78" r="0.75000000000000078" t="1" header="0" footer="0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</xdr:colOff>
      <xdr:row>55</xdr:row>
      <xdr:rowOff>55774</xdr:rowOff>
    </xdr:from>
    <xdr:to>
      <xdr:col>33</xdr:col>
      <xdr:colOff>15913</xdr:colOff>
      <xdr:row>57</xdr:row>
      <xdr:rowOff>92885</xdr:rowOff>
    </xdr:to>
    <xdr:sp macro="" textlink="">
      <xdr:nvSpPr>
        <xdr:cNvPr id="3" name="Text Box 9">
          <a:extLst>
            <a:ext uri="{FF2B5EF4-FFF2-40B4-BE49-F238E27FC236}">
              <a16:creationId xmlns:a16="http://schemas.microsoft.com/office/drawing/2014/main" id="{87EF979A-2CAE-4AED-89BF-3B7298CF28AC}"/>
            </a:ext>
          </a:extLst>
        </xdr:cNvPr>
        <xdr:cNvSpPr txBox="1">
          <a:spLocks noChangeArrowheads="1"/>
        </xdr:cNvSpPr>
      </xdr:nvSpPr>
      <xdr:spPr bwMode="auto">
        <a:xfrm>
          <a:off x="4667288" y="5897774"/>
          <a:ext cx="4659313" cy="22761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s-ES" sz="1000" b="0" i="0" strike="noStrike">
              <a:solidFill>
                <a:srgbClr val="000000"/>
              </a:solidFill>
              <a:latin typeface="Arial"/>
              <a:cs typeface="Arial"/>
            </a:rPr>
            <a:t>Responsable de Laboratorio: Jessica Ramos</a:t>
          </a:r>
        </a:p>
      </xdr:txBody>
    </xdr:sp>
    <xdr:clientData/>
  </xdr:twoCellAnchor>
  <xdr:twoCellAnchor>
    <xdr:from>
      <xdr:col>1</xdr:col>
      <xdr:colOff>1814</xdr:colOff>
      <xdr:row>131</xdr:row>
      <xdr:rowOff>0</xdr:rowOff>
    </xdr:from>
    <xdr:to>
      <xdr:col>13</xdr:col>
      <xdr:colOff>82555</xdr:colOff>
      <xdr:row>131</xdr:row>
      <xdr:rowOff>0</xdr:rowOff>
    </xdr:to>
    <xdr:sp macro="" textlink="">
      <xdr:nvSpPr>
        <xdr:cNvPr id="5" name="Text Box 18">
          <a:extLst>
            <a:ext uri="{FF2B5EF4-FFF2-40B4-BE49-F238E27FC236}">
              <a16:creationId xmlns:a16="http://schemas.microsoft.com/office/drawing/2014/main" id="{DE2A40E8-26A5-49F2-BBA8-B69D1744C6BF}"/>
            </a:ext>
          </a:extLst>
        </xdr:cNvPr>
        <xdr:cNvSpPr txBox="1">
          <a:spLocks noChangeArrowheads="1"/>
        </xdr:cNvSpPr>
      </xdr:nvSpPr>
      <xdr:spPr bwMode="auto">
        <a:xfrm>
          <a:off x="219075" y="17726025"/>
          <a:ext cx="36861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s-ES" sz="1400" b="0" i="0" strike="noStrike">
              <a:solidFill>
                <a:srgbClr val="000000"/>
              </a:solidFill>
              <a:latin typeface="Arial"/>
              <a:cs typeface="Arial"/>
            </a:rPr>
            <a:t>      Analista Responsae :</a:t>
          </a:r>
        </a:p>
      </xdr:txBody>
    </xdr:sp>
    <xdr:clientData/>
  </xdr:twoCellAnchor>
  <xdr:twoCellAnchor editAs="oneCell">
    <xdr:from>
      <xdr:col>2</xdr:col>
      <xdr:colOff>107950</xdr:colOff>
      <xdr:row>37</xdr:row>
      <xdr:rowOff>69850</xdr:rowOff>
    </xdr:from>
    <xdr:to>
      <xdr:col>3</xdr:col>
      <xdr:colOff>158750</xdr:colOff>
      <xdr:row>40</xdr:row>
      <xdr:rowOff>50800</xdr:rowOff>
    </xdr:to>
    <xdr:sp macro="" textlink="">
      <xdr:nvSpPr>
        <xdr:cNvPr id="21661" name="Text Box 30">
          <a:extLst>
            <a:ext uri="{FF2B5EF4-FFF2-40B4-BE49-F238E27FC236}">
              <a16:creationId xmlns:a16="http://schemas.microsoft.com/office/drawing/2014/main" id="{014E0AF9-C88F-4B84-AA7E-86879C17D1F4}"/>
            </a:ext>
          </a:extLst>
        </xdr:cNvPr>
        <xdr:cNvSpPr txBox="1">
          <a:spLocks noChangeArrowheads="1"/>
        </xdr:cNvSpPr>
      </xdr:nvSpPr>
      <xdr:spPr bwMode="auto">
        <a:xfrm>
          <a:off x="838200" y="4381500"/>
          <a:ext cx="5715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292100</xdr:colOff>
      <xdr:row>8</xdr:row>
      <xdr:rowOff>63500</xdr:rowOff>
    </xdr:from>
    <xdr:to>
      <xdr:col>33</xdr:col>
      <xdr:colOff>63500</xdr:colOff>
      <xdr:row>54</xdr:row>
      <xdr:rowOff>25400</xdr:rowOff>
    </xdr:to>
    <xdr:graphicFrame macro="">
      <xdr:nvGraphicFramePr>
        <xdr:cNvPr id="21662" name="Chart 31">
          <a:extLst>
            <a:ext uri="{FF2B5EF4-FFF2-40B4-BE49-F238E27FC236}">
              <a16:creationId xmlns:a16="http://schemas.microsoft.com/office/drawing/2014/main" id="{8564AE0E-0CB7-46DA-A273-C253F61DD2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76200</xdr:rowOff>
    </xdr:from>
    <xdr:to>
      <xdr:col>2</xdr:col>
      <xdr:colOff>501650</xdr:colOff>
      <xdr:row>1</xdr:row>
      <xdr:rowOff>228600</xdr:rowOff>
    </xdr:to>
    <xdr:pic>
      <xdr:nvPicPr>
        <xdr:cNvPr id="21663" name="Imagen 1">
          <a:extLst>
            <a:ext uri="{FF2B5EF4-FFF2-40B4-BE49-F238E27FC236}">
              <a16:creationId xmlns:a16="http://schemas.microsoft.com/office/drawing/2014/main" id="{9F961397-ABA2-4483-BD49-537178D16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"/>
          <a:ext cx="12319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0.01371</cdr:x>
      <cdr:y>0.56249</cdr:y>
    </cdr:from>
    <cdr:to>
      <cdr:x>0.01371</cdr:x>
      <cdr:y>0.56249</cdr:y>
    </cdr:to>
    <cdr:sp macro="" textlink="">
      <cdr:nvSpPr>
        <cdr:cNvPr id="25674" name="Text Box 7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223" y="3367815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0" bIns="0" anchor="t" upright="1"/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s-ES" sz="625" b="0" i="0" strike="noStrike">
              <a:solidFill>
                <a:srgbClr val="000000"/>
              </a:solidFill>
              <a:latin typeface="Arial"/>
              <a:cs typeface="Arial"/>
            </a:rPr>
            <a:t>LECTURA</a:t>
          </a:r>
        </a:p>
      </cdr:txBody>
    </cdr:sp>
  </cdr:relSizeAnchor>
  <cdr:relSizeAnchor xmlns:cdr="http://schemas.openxmlformats.org/drawingml/2006/chartDrawing">
    <cdr:from>
      <cdr:x>0.01976</cdr:x>
      <cdr:y>0.91081</cdr:y>
    </cdr:from>
    <cdr:to>
      <cdr:x>0.94329</cdr:x>
      <cdr:y>0.95993</cdr:y>
    </cdr:to>
    <cdr:sp macro="" textlink="">
      <cdr:nvSpPr>
        <cdr:cNvPr id="25680" name="Text Box 8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1156" y="4013828"/>
          <a:ext cx="8466748" cy="216467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LC : </a:t>
          </a:r>
          <a:r>
            <a:rPr lang="es-ES" sz="1000" b="0" i="0" strike="noStrike">
              <a:solidFill>
                <a:srgbClr val="000000"/>
              </a:solidFill>
              <a:latin typeface="Arial"/>
              <a:cs typeface="Arial"/>
            </a:rPr>
            <a:t>Límite Central,</a:t>
          </a: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  LAI </a:t>
          </a:r>
          <a:r>
            <a:rPr lang="es-ES" sz="1000" b="0" i="0" strike="noStrike">
              <a:solidFill>
                <a:srgbClr val="000000"/>
              </a:solidFill>
              <a:latin typeface="Arial"/>
              <a:cs typeface="Arial"/>
            </a:rPr>
            <a:t>: Límite de Advertencia Inferior ,  </a:t>
          </a: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LAS </a:t>
          </a:r>
          <a:r>
            <a:rPr lang="es-ES" sz="1000" b="0" i="0" strike="noStrike">
              <a:solidFill>
                <a:srgbClr val="000000"/>
              </a:solidFill>
              <a:latin typeface="Arial"/>
              <a:cs typeface="Arial"/>
            </a:rPr>
            <a:t>: Límite de Advertencia  Superior ,  </a:t>
          </a: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LCI </a:t>
          </a:r>
          <a:r>
            <a:rPr lang="es-ES" sz="1000" b="0" i="0" strike="noStrike">
              <a:solidFill>
                <a:srgbClr val="000000"/>
              </a:solidFill>
              <a:latin typeface="Arial"/>
              <a:cs typeface="Arial"/>
            </a:rPr>
            <a:t>: Límite de Control</a:t>
          </a:r>
          <a:r>
            <a:rPr lang="es-ES" sz="1000" b="0" i="0" strike="noStrike" baseline="0">
              <a:solidFill>
                <a:srgbClr val="000000"/>
              </a:solidFill>
              <a:latin typeface="Arial"/>
              <a:cs typeface="Arial"/>
            </a:rPr>
            <a:t> I</a:t>
          </a:r>
          <a:r>
            <a:rPr lang="es-ES" sz="1000" b="0" i="0" strike="noStrike">
              <a:solidFill>
                <a:srgbClr val="000000"/>
              </a:solidFill>
              <a:latin typeface="Arial"/>
              <a:cs typeface="Arial"/>
            </a:rPr>
            <a:t>nferior </a:t>
          </a: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, LCS </a:t>
          </a:r>
          <a:r>
            <a:rPr lang="es-ES" sz="1000" b="0" i="0" strike="noStrike">
              <a:solidFill>
                <a:srgbClr val="000000"/>
              </a:solidFill>
              <a:latin typeface="Arial"/>
              <a:cs typeface="Arial"/>
            </a:rPr>
            <a:t>: Límite de</a:t>
          </a:r>
          <a:r>
            <a:rPr lang="es-ES" sz="1000" b="0" i="0" strike="noStrike" baseline="0">
              <a:solidFill>
                <a:srgbClr val="000000"/>
              </a:solidFill>
              <a:latin typeface="Arial"/>
              <a:cs typeface="Arial"/>
            </a:rPr>
            <a:t> C</a:t>
          </a:r>
          <a:r>
            <a:rPr lang="es-ES" sz="1000" b="0" i="0" strike="noStrike">
              <a:solidFill>
                <a:srgbClr val="000000"/>
              </a:solidFill>
              <a:latin typeface="Arial"/>
              <a:cs typeface="Arial"/>
            </a:rPr>
            <a:t>ontrol</a:t>
          </a:r>
          <a:r>
            <a:rPr lang="es-ES" sz="1000" b="0" i="0" strike="noStrike" baseline="0">
              <a:solidFill>
                <a:srgbClr val="000000"/>
              </a:solidFill>
              <a:latin typeface="Arial"/>
              <a:cs typeface="Arial"/>
            </a:rPr>
            <a:t> S</a:t>
          </a:r>
          <a:r>
            <a:rPr lang="es-ES" sz="1000" b="0" i="0" strike="noStrike">
              <a:solidFill>
                <a:srgbClr val="000000"/>
              </a:solidFill>
              <a:latin typeface="Arial"/>
              <a:cs typeface="Arial"/>
            </a:rPr>
            <a:t>uperior</a:t>
          </a:r>
        </a:p>
      </cdr:txBody>
    </cdr:sp>
  </cdr:relSizeAnchor>
  <cdr:relSizeAnchor xmlns:cdr="http://schemas.openxmlformats.org/drawingml/2006/chartDrawing">
    <cdr:from>
      <cdr:x>0.06506</cdr:x>
      <cdr:y>0.01784</cdr:y>
    </cdr:from>
    <cdr:to>
      <cdr:x>0.99443</cdr:x>
      <cdr:y>0.06469</cdr:y>
    </cdr:to>
    <cdr:sp macro="" textlink="">
      <cdr:nvSpPr>
        <cdr:cNvPr id="12" name="1 CuadroTexto"/>
        <cdr:cNvSpPr txBox="1"/>
      </cdr:nvSpPr>
      <cdr:spPr>
        <a:xfrm xmlns:a="http://schemas.openxmlformats.org/drawingml/2006/main">
          <a:off x="596457" y="78612"/>
          <a:ext cx="8520327" cy="2064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s-ES" sz="1000"/>
            <a:t>1        2       3        4       5       6       7         8        9      10     11     12      13     14      15     16     17      18     19     20       21     22    23      24     25      26     27      28     29     30    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113751</xdr:colOff>
      <xdr:row>57</xdr:row>
      <xdr:rowOff>57908</xdr:rowOff>
    </xdr:from>
    <xdr:to>
      <xdr:col>13</xdr:col>
      <xdr:colOff>266151</xdr:colOff>
      <xdr:row>59</xdr:row>
      <xdr:rowOff>88698</xdr:rowOff>
    </xdr:to>
    <xdr:sp macro="" textlink="">
      <xdr:nvSpPr>
        <xdr:cNvPr id="2" name="Text Box 8">
          <a:extLst>
            <a:ext uri="{FF2B5EF4-FFF2-40B4-BE49-F238E27FC236}">
              <a16:creationId xmlns:a16="http://schemas.microsoft.com/office/drawing/2014/main" id="{0E14DF10-C583-4714-B527-23E33F74CEBB}"/>
            </a:ext>
          </a:extLst>
        </xdr:cNvPr>
        <xdr:cNvSpPr txBox="1">
          <a:spLocks noChangeArrowheads="1"/>
        </xdr:cNvSpPr>
      </xdr:nvSpPr>
      <xdr:spPr bwMode="auto">
        <a:xfrm>
          <a:off x="326476" y="5899908"/>
          <a:ext cx="3762375" cy="22761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s-ES" sz="1000" b="0" i="0" strike="noStrike">
              <a:solidFill>
                <a:srgbClr val="000000"/>
              </a:solidFill>
              <a:latin typeface="Arial"/>
              <a:cs typeface="Arial"/>
            </a:rPr>
            <a:t>      Analista Responsable </a:t>
          </a:r>
          <a:r>
            <a:rPr lang="es-ES" sz="1400" b="0" i="0" strike="noStrike">
              <a:solidFill>
                <a:srgbClr val="000000"/>
              </a:solidFill>
              <a:latin typeface="Arial"/>
              <a:cs typeface="Arial"/>
            </a:rPr>
            <a:t>:</a:t>
          </a:r>
        </a:p>
      </xdr:txBody>
    </xdr:sp>
    <xdr:clientData/>
  </xdr:twoCellAnchor>
  <xdr:twoCellAnchor>
    <xdr:from>
      <xdr:col>16</xdr:col>
      <xdr:colOff>38</xdr:colOff>
      <xdr:row>57</xdr:row>
      <xdr:rowOff>55774</xdr:rowOff>
    </xdr:from>
    <xdr:to>
      <xdr:col>33</xdr:col>
      <xdr:colOff>15913</xdr:colOff>
      <xdr:row>59</xdr:row>
      <xdr:rowOff>92885</xdr:rowOff>
    </xdr:to>
    <xdr:sp macro="" textlink="">
      <xdr:nvSpPr>
        <xdr:cNvPr id="3" name="Text Box 9">
          <a:extLst>
            <a:ext uri="{FF2B5EF4-FFF2-40B4-BE49-F238E27FC236}">
              <a16:creationId xmlns:a16="http://schemas.microsoft.com/office/drawing/2014/main" id="{BE8AB029-BEBB-436F-9932-ABE325FC19D7}"/>
            </a:ext>
          </a:extLst>
        </xdr:cNvPr>
        <xdr:cNvSpPr txBox="1">
          <a:spLocks noChangeArrowheads="1"/>
        </xdr:cNvSpPr>
      </xdr:nvSpPr>
      <xdr:spPr bwMode="auto">
        <a:xfrm>
          <a:off x="4629188" y="5904124"/>
          <a:ext cx="4616450" cy="22761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s-ES" sz="1000" b="0" i="0" strike="noStrike">
              <a:solidFill>
                <a:srgbClr val="000000"/>
              </a:solidFill>
              <a:latin typeface="Arial"/>
              <a:cs typeface="Arial"/>
            </a:rPr>
            <a:t>   Vo Bo Jefe de Sección / Supervisor :</a:t>
          </a:r>
        </a:p>
      </xdr:txBody>
    </xdr:sp>
    <xdr:clientData/>
  </xdr:twoCellAnchor>
  <xdr:twoCellAnchor>
    <xdr:from>
      <xdr:col>1</xdr:col>
      <xdr:colOff>1058</xdr:colOff>
      <xdr:row>133</xdr:row>
      <xdr:rowOff>0</xdr:rowOff>
    </xdr:from>
    <xdr:to>
      <xdr:col>13</xdr:col>
      <xdr:colOff>82553</xdr:colOff>
      <xdr:row>133</xdr:row>
      <xdr:rowOff>0</xdr:rowOff>
    </xdr:to>
    <xdr:sp macro="" textlink="">
      <xdr:nvSpPr>
        <xdr:cNvPr id="4" name="Text Box 18">
          <a:extLst>
            <a:ext uri="{FF2B5EF4-FFF2-40B4-BE49-F238E27FC236}">
              <a16:creationId xmlns:a16="http://schemas.microsoft.com/office/drawing/2014/main" id="{387CE50A-F264-4E2E-B6F8-28FF1501992F}"/>
            </a:ext>
          </a:extLst>
        </xdr:cNvPr>
        <xdr:cNvSpPr txBox="1">
          <a:spLocks noChangeArrowheads="1"/>
        </xdr:cNvSpPr>
      </xdr:nvSpPr>
      <xdr:spPr bwMode="auto">
        <a:xfrm>
          <a:off x="219075" y="17440275"/>
          <a:ext cx="36861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s-ES" sz="1400" b="0" i="0" strike="noStrike">
              <a:solidFill>
                <a:srgbClr val="000000"/>
              </a:solidFill>
              <a:latin typeface="Arial"/>
              <a:cs typeface="Arial"/>
            </a:rPr>
            <a:t>      Analista Responsae :</a:t>
          </a:r>
        </a:p>
      </xdr:txBody>
    </xdr:sp>
    <xdr:clientData/>
  </xdr:twoCellAnchor>
  <xdr:twoCellAnchor editAs="oneCell">
    <xdr:from>
      <xdr:col>2</xdr:col>
      <xdr:colOff>107950</xdr:colOff>
      <xdr:row>39</xdr:row>
      <xdr:rowOff>69850</xdr:rowOff>
    </xdr:from>
    <xdr:to>
      <xdr:col>3</xdr:col>
      <xdr:colOff>158750</xdr:colOff>
      <xdr:row>42</xdr:row>
      <xdr:rowOff>50800</xdr:rowOff>
    </xdr:to>
    <xdr:sp macro="" textlink="">
      <xdr:nvSpPr>
        <xdr:cNvPr id="27772" name="Text Box 30">
          <a:extLst>
            <a:ext uri="{FF2B5EF4-FFF2-40B4-BE49-F238E27FC236}">
              <a16:creationId xmlns:a16="http://schemas.microsoft.com/office/drawing/2014/main" id="{A2519F69-5C5F-4759-B5F9-824FCB189167}"/>
            </a:ext>
          </a:extLst>
        </xdr:cNvPr>
        <xdr:cNvSpPr txBox="1">
          <a:spLocks noChangeArrowheads="1"/>
        </xdr:cNvSpPr>
      </xdr:nvSpPr>
      <xdr:spPr bwMode="auto">
        <a:xfrm>
          <a:off x="838200" y="4197350"/>
          <a:ext cx="5715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228600</xdr:colOff>
      <xdr:row>9</xdr:row>
      <xdr:rowOff>76200</xdr:rowOff>
    </xdr:from>
    <xdr:to>
      <xdr:col>33</xdr:col>
      <xdr:colOff>50800</xdr:colOff>
      <xdr:row>55</xdr:row>
      <xdr:rowOff>38100</xdr:rowOff>
    </xdr:to>
    <xdr:graphicFrame macro="">
      <xdr:nvGraphicFramePr>
        <xdr:cNvPr id="27773" name="Chart 31">
          <a:extLst>
            <a:ext uri="{FF2B5EF4-FFF2-40B4-BE49-F238E27FC236}">
              <a16:creationId xmlns:a16="http://schemas.microsoft.com/office/drawing/2014/main" id="{B7223E30-BD5C-4A47-B04B-934D0D589C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0.01371</cdr:x>
      <cdr:y>0.56249</cdr:y>
    </cdr:from>
    <cdr:to>
      <cdr:x>0.01371</cdr:x>
      <cdr:y>0.56249</cdr:y>
    </cdr:to>
    <cdr:sp macro="" textlink="">
      <cdr:nvSpPr>
        <cdr:cNvPr id="25674" name="Text Box 7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223" y="3367815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18288" rIns="0" bIns="0" anchor="t" upright="1"/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s-ES" sz="625" b="0" i="0" strike="noStrike">
              <a:solidFill>
                <a:srgbClr val="000000"/>
              </a:solidFill>
              <a:latin typeface="Arial"/>
              <a:cs typeface="Arial"/>
            </a:rPr>
            <a:t>LECTURA</a:t>
          </a:r>
        </a:p>
      </cdr:txBody>
    </cdr:sp>
  </cdr:relSizeAnchor>
  <cdr:relSizeAnchor xmlns:cdr="http://schemas.openxmlformats.org/drawingml/2006/chartDrawing">
    <cdr:from>
      <cdr:x>0.90678</cdr:x>
      <cdr:y>0.77109</cdr:y>
    </cdr:from>
    <cdr:to>
      <cdr:x>0.98733</cdr:x>
      <cdr:y>0.80707</cdr:y>
    </cdr:to>
    <cdr:sp macro="" textlink="">
      <cdr:nvSpPr>
        <cdr:cNvPr id="25675" name="Text Box 7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28289" y="3924349"/>
          <a:ext cx="822527" cy="1839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s-ES" sz="1025" b="0" i="0" strike="noStrike">
              <a:solidFill>
                <a:srgbClr val="000000"/>
              </a:solidFill>
              <a:latin typeface="Arial"/>
              <a:cs typeface="Arial"/>
            </a:rPr>
            <a:t>LCI =  19.0</a:t>
          </a:r>
        </a:p>
      </cdr:txBody>
    </cdr:sp>
  </cdr:relSizeAnchor>
  <cdr:relSizeAnchor xmlns:cdr="http://schemas.openxmlformats.org/drawingml/2006/chartDrawing">
    <cdr:from>
      <cdr:x>0.90608</cdr:x>
      <cdr:y>0.66625</cdr:y>
    </cdr:from>
    <cdr:to>
      <cdr:x>0.9982</cdr:x>
      <cdr:y>0.7036</cdr:y>
    </cdr:to>
    <cdr:sp macro="" textlink="">
      <cdr:nvSpPr>
        <cdr:cNvPr id="25676" name="Text Box 7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012661" y="3434567"/>
          <a:ext cx="915563" cy="19347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s-ES" sz="1025" b="0" i="0" strike="noStrike">
              <a:solidFill>
                <a:srgbClr val="000000"/>
              </a:solidFill>
              <a:latin typeface="Arial"/>
              <a:cs typeface="Arial"/>
            </a:rPr>
            <a:t>LAI = 20.0</a:t>
          </a:r>
        </a:p>
      </cdr:txBody>
    </cdr:sp>
  </cdr:relSizeAnchor>
  <cdr:relSizeAnchor xmlns:cdr="http://schemas.openxmlformats.org/drawingml/2006/chartDrawing">
    <cdr:from>
      <cdr:x>0.90547</cdr:x>
      <cdr:y>0.44996</cdr:y>
    </cdr:from>
    <cdr:to>
      <cdr:x>0.98684</cdr:x>
      <cdr:y>0.48992</cdr:y>
    </cdr:to>
    <cdr:sp macro="" textlink="">
      <cdr:nvSpPr>
        <cdr:cNvPr id="25677" name="Text Box 7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75306" y="1961499"/>
          <a:ext cx="743660" cy="17421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18288" tIns="22860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s-ES" sz="1025" b="0" i="0" strike="noStrike">
              <a:solidFill>
                <a:srgbClr val="000000"/>
              </a:solidFill>
              <a:latin typeface="Arial"/>
              <a:cs typeface="Arial"/>
            </a:rPr>
            <a:t>LC = 21.9</a:t>
          </a:r>
        </a:p>
      </cdr:txBody>
    </cdr:sp>
  </cdr:relSizeAnchor>
  <cdr:relSizeAnchor xmlns:cdr="http://schemas.openxmlformats.org/drawingml/2006/chartDrawing">
    <cdr:from>
      <cdr:x>0.90925</cdr:x>
      <cdr:y>0.24294</cdr:y>
    </cdr:from>
    <cdr:to>
      <cdr:x>0.98734</cdr:x>
      <cdr:y>0.28075</cdr:y>
    </cdr:to>
    <cdr:sp macro="" textlink="">
      <cdr:nvSpPr>
        <cdr:cNvPr id="25678" name="Text Box 7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046694" y="1258895"/>
          <a:ext cx="773637" cy="1933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s-ES" sz="1025" b="0" i="0" strike="noStrike">
              <a:solidFill>
                <a:srgbClr val="000000"/>
              </a:solidFill>
              <a:latin typeface="Arial"/>
              <a:cs typeface="Arial"/>
            </a:rPr>
            <a:t>LAS = 23.8</a:t>
          </a:r>
        </a:p>
      </cdr:txBody>
    </cdr:sp>
  </cdr:relSizeAnchor>
  <cdr:relSizeAnchor xmlns:cdr="http://schemas.openxmlformats.org/drawingml/2006/chartDrawing">
    <cdr:from>
      <cdr:x>0.906</cdr:x>
      <cdr:y>0.1351</cdr:y>
    </cdr:from>
    <cdr:to>
      <cdr:x>0.98872</cdr:x>
      <cdr:y>0.18125</cdr:y>
    </cdr:to>
    <cdr:sp macro="" textlink="">
      <cdr:nvSpPr>
        <cdr:cNvPr id="25679" name="Text Box 7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014396" y="705226"/>
          <a:ext cx="819653" cy="2374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s-ES" sz="1000" b="0" i="0" strike="noStrike">
              <a:solidFill>
                <a:srgbClr val="000000"/>
              </a:solidFill>
              <a:latin typeface="Arial"/>
              <a:cs typeface="Arial"/>
            </a:rPr>
            <a:t>LCS  = 24.7</a:t>
          </a:r>
        </a:p>
      </cdr:txBody>
    </cdr:sp>
  </cdr:relSizeAnchor>
  <cdr:relSizeAnchor xmlns:cdr="http://schemas.openxmlformats.org/drawingml/2006/chartDrawing">
    <cdr:from>
      <cdr:x>0.01976</cdr:x>
      <cdr:y>0.89794</cdr:y>
    </cdr:from>
    <cdr:to>
      <cdr:x>0.94329</cdr:x>
      <cdr:y>0.94706</cdr:y>
    </cdr:to>
    <cdr:sp macro="" textlink="">
      <cdr:nvSpPr>
        <cdr:cNvPr id="25680" name="Text Box 8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1558" y="4626731"/>
          <a:ext cx="9200814" cy="249009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LC : </a:t>
          </a:r>
          <a:r>
            <a:rPr lang="es-ES" sz="1000" b="0" i="0" strike="noStrike">
              <a:solidFill>
                <a:srgbClr val="000000"/>
              </a:solidFill>
              <a:latin typeface="Arial"/>
              <a:cs typeface="Arial"/>
            </a:rPr>
            <a:t>Límite Central,</a:t>
          </a: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  LAI </a:t>
          </a:r>
          <a:r>
            <a:rPr lang="es-ES" sz="1000" b="0" i="0" strike="noStrike">
              <a:solidFill>
                <a:srgbClr val="000000"/>
              </a:solidFill>
              <a:latin typeface="Arial"/>
              <a:cs typeface="Arial"/>
            </a:rPr>
            <a:t>: Límite de Advertencia Inferior ,  </a:t>
          </a: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LAS </a:t>
          </a:r>
          <a:r>
            <a:rPr lang="es-ES" sz="1000" b="0" i="0" strike="noStrike">
              <a:solidFill>
                <a:srgbClr val="000000"/>
              </a:solidFill>
              <a:latin typeface="Arial"/>
              <a:cs typeface="Arial"/>
            </a:rPr>
            <a:t>: Límite de Advertencia  Superior ,  </a:t>
          </a: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LCI </a:t>
          </a:r>
          <a:r>
            <a:rPr lang="es-ES" sz="1000" b="0" i="0" strike="noStrike">
              <a:solidFill>
                <a:srgbClr val="000000"/>
              </a:solidFill>
              <a:latin typeface="Arial"/>
              <a:cs typeface="Arial"/>
            </a:rPr>
            <a:t>: Límite de Control</a:t>
          </a:r>
          <a:r>
            <a:rPr lang="es-ES" sz="1000" b="0" i="0" strike="noStrike" baseline="0">
              <a:solidFill>
                <a:srgbClr val="000000"/>
              </a:solidFill>
              <a:latin typeface="Arial"/>
              <a:cs typeface="Arial"/>
            </a:rPr>
            <a:t> I</a:t>
          </a:r>
          <a:r>
            <a:rPr lang="es-ES" sz="1000" b="0" i="0" strike="noStrike">
              <a:solidFill>
                <a:srgbClr val="000000"/>
              </a:solidFill>
              <a:latin typeface="Arial"/>
              <a:cs typeface="Arial"/>
            </a:rPr>
            <a:t>nferior </a:t>
          </a:r>
          <a:r>
            <a:rPr lang="es-ES" sz="1000" b="1" i="0" strike="noStrike">
              <a:solidFill>
                <a:srgbClr val="000000"/>
              </a:solidFill>
              <a:latin typeface="Arial"/>
              <a:cs typeface="Arial"/>
            </a:rPr>
            <a:t>, LCS </a:t>
          </a:r>
          <a:r>
            <a:rPr lang="es-ES" sz="1000" b="0" i="0" strike="noStrike">
              <a:solidFill>
                <a:srgbClr val="000000"/>
              </a:solidFill>
              <a:latin typeface="Arial"/>
              <a:cs typeface="Arial"/>
            </a:rPr>
            <a:t>: Límite de</a:t>
          </a:r>
          <a:r>
            <a:rPr lang="es-ES" sz="1000" b="0" i="0" strike="noStrike" baseline="0">
              <a:solidFill>
                <a:srgbClr val="000000"/>
              </a:solidFill>
              <a:latin typeface="Arial"/>
              <a:cs typeface="Arial"/>
            </a:rPr>
            <a:t> C</a:t>
          </a:r>
          <a:r>
            <a:rPr lang="es-ES" sz="1000" b="0" i="0" strike="noStrike">
              <a:solidFill>
                <a:srgbClr val="000000"/>
              </a:solidFill>
              <a:latin typeface="Arial"/>
              <a:cs typeface="Arial"/>
            </a:rPr>
            <a:t>ontrol</a:t>
          </a:r>
          <a:r>
            <a:rPr lang="es-ES" sz="1000" b="0" i="0" strike="noStrike" baseline="0">
              <a:solidFill>
                <a:srgbClr val="000000"/>
              </a:solidFill>
              <a:latin typeface="Arial"/>
              <a:cs typeface="Arial"/>
            </a:rPr>
            <a:t> S</a:t>
          </a:r>
          <a:r>
            <a:rPr lang="es-ES" sz="1000" b="0" i="0" strike="noStrike">
              <a:solidFill>
                <a:srgbClr val="000000"/>
              </a:solidFill>
              <a:latin typeface="Arial"/>
              <a:cs typeface="Arial"/>
            </a:rPr>
            <a:t>uperior</a:t>
          </a:r>
        </a:p>
      </cdr:txBody>
    </cdr:sp>
  </cdr:relSizeAnchor>
  <cdr:relSizeAnchor xmlns:cdr="http://schemas.openxmlformats.org/drawingml/2006/chartDrawing">
    <cdr:from>
      <cdr:x>0.06506</cdr:x>
      <cdr:y>0.0693</cdr:y>
    </cdr:from>
    <cdr:to>
      <cdr:x>0.93441</cdr:x>
      <cdr:y>0.10964</cdr:y>
    </cdr:to>
    <cdr:sp macro="" textlink="">
      <cdr:nvSpPr>
        <cdr:cNvPr id="12" name="1 CuadroTexto"/>
        <cdr:cNvSpPr txBox="1"/>
      </cdr:nvSpPr>
      <cdr:spPr>
        <a:xfrm xmlns:a="http://schemas.openxmlformats.org/drawingml/2006/main">
          <a:off x="666750" y="360258"/>
          <a:ext cx="8658225" cy="2112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s-ES" sz="1000"/>
            <a:t>1      2      3       4        5       6      7       8      9      10      11    12    13     14     15    16     17    18     19    20     21     22    23    24     25    26      27    28    29     30    </a:t>
          </a:r>
        </a:p>
      </cdr:txBody>
    </cdr:sp>
  </cdr:relSizeAnchor>
</c:userShap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A1:AK131"/>
  <sheetViews>
    <sheetView tabSelected="1" topLeftCell="A4" zoomScale="112" zoomScaleNormal="112" zoomScaleSheetLayoutView="120" zoomScalePageLayoutView="96" workbookViewId="0">
      <selection activeCell="N7" sqref="N7:R7"/>
    </sheetView>
  </sheetViews>
  <sheetFormatPr defaultColWidth="11.453125" defaultRowHeight="12.5"/>
  <cols>
    <col min="1" max="1" width="3.26953125" style="1" customWidth="1"/>
    <col min="2" max="2" width="7.1796875" style="1" customWidth="1"/>
    <col min="3" max="3" width="7.453125" style="1" customWidth="1"/>
    <col min="4" max="6" width="4" style="1" customWidth="1"/>
    <col min="7" max="7" width="3.54296875" style="1" customWidth="1"/>
    <col min="8" max="26" width="4" style="1" customWidth="1"/>
    <col min="27" max="27" width="4.54296875" style="1" customWidth="1"/>
    <col min="28" max="28" width="4.453125" style="1" customWidth="1"/>
    <col min="29" max="33" width="4" style="1" customWidth="1"/>
    <col min="34" max="34" width="7.36328125" style="1" customWidth="1"/>
    <col min="35" max="37" width="4.7265625" style="1" customWidth="1"/>
    <col min="38" max="56" width="4" style="1" customWidth="1"/>
    <col min="57" max="16384" width="11.453125" style="1"/>
  </cols>
  <sheetData>
    <row r="1" spans="1:34" ht="20.25" customHeight="1">
      <c r="A1" s="59"/>
      <c r="B1" s="60"/>
      <c r="C1" s="60"/>
      <c r="D1" s="75" t="s">
        <v>28</v>
      </c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64" t="s">
        <v>29</v>
      </c>
      <c r="AB1" s="64"/>
      <c r="AC1" s="72" t="s">
        <v>33</v>
      </c>
      <c r="AD1" s="72"/>
      <c r="AE1" s="72"/>
      <c r="AF1" s="72"/>
      <c r="AG1" s="73"/>
    </row>
    <row r="2" spans="1:34" customFormat="1" ht="26.25" customHeight="1" thickBot="1">
      <c r="A2" s="61"/>
      <c r="B2" s="62"/>
      <c r="C2" s="62"/>
      <c r="D2" s="63" t="s">
        <v>31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5" t="s">
        <v>30</v>
      </c>
      <c r="AB2" s="65"/>
      <c r="AC2" s="65">
        <v>1</v>
      </c>
      <c r="AD2" s="65"/>
      <c r="AE2" s="65"/>
      <c r="AF2" s="65"/>
      <c r="AG2" s="74"/>
    </row>
    <row r="3" spans="1:34" ht="16.5" customHeight="1">
      <c r="E3" s="11"/>
      <c r="F3" s="11"/>
      <c r="G3" s="11"/>
      <c r="H3" s="11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11"/>
      <c r="AC3" s="11"/>
      <c r="AD3" s="11"/>
      <c r="AE3" s="11"/>
      <c r="AF3" s="11"/>
      <c r="AG3" s="11"/>
    </row>
    <row r="4" spans="1:34" ht="14.25" customHeight="1">
      <c r="B4" s="66" t="s">
        <v>32</v>
      </c>
      <c r="C4" s="66"/>
      <c r="D4" s="66"/>
      <c r="E4" s="66"/>
      <c r="F4" s="66"/>
      <c r="G4" s="66"/>
      <c r="H4" s="66"/>
      <c r="I4" s="66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</row>
    <row r="5" spans="1:34" ht="7.5" customHeight="1"/>
    <row r="6" spans="1:34" ht="14.25" customHeight="1">
      <c r="B6" s="70" t="s">
        <v>9</v>
      </c>
      <c r="C6" s="71"/>
      <c r="D6" s="26">
        <v>1</v>
      </c>
      <c r="E6" s="26">
        <f>D6+1</f>
        <v>2</v>
      </c>
      <c r="F6" s="26">
        <f t="shared" ref="F6:AG6" si="0">E6+1</f>
        <v>3</v>
      </c>
      <c r="G6" s="26">
        <f t="shared" si="0"/>
        <v>4</v>
      </c>
      <c r="H6" s="26">
        <f t="shared" si="0"/>
        <v>5</v>
      </c>
      <c r="I6" s="26">
        <f t="shared" si="0"/>
        <v>6</v>
      </c>
      <c r="J6" s="26">
        <f t="shared" si="0"/>
        <v>7</v>
      </c>
      <c r="K6" s="26">
        <f t="shared" si="0"/>
        <v>8</v>
      </c>
      <c r="L6" s="27">
        <f t="shared" si="0"/>
        <v>9</v>
      </c>
      <c r="M6" s="26">
        <f t="shared" si="0"/>
        <v>10</v>
      </c>
      <c r="N6" s="28">
        <f t="shared" si="0"/>
        <v>11</v>
      </c>
      <c r="O6" s="26">
        <f t="shared" si="0"/>
        <v>12</v>
      </c>
      <c r="P6" s="26">
        <f t="shared" si="0"/>
        <v>13</v>
      </c>
      <c r="Q6" s="26">
        <f t="shared" si="0"/>
        <v>14</v>
      </c>
      <c r="R6" s="26">
        <f t="shared" si="0"/>
        <v>15</v>
      </c>
      <c r="S6" s="26">
        <f t="shared" si="0"/>
        <v>16</v>
      </c>
      <c r="T6" s="26">
        <f t="shared" si="0"/>
        <v>17</v>
      </c>
      <c r="U6" s="26">
        <f t="shared" si="0"/>
        <v>18</v>
      </c>
      <c r="V6" s="26">
        <f t="shared" si="0"/>
        <v>19</v>
      </c>
      <c r="W6" s="26">
        <f t="shared" si="0"/>
        <v>20</v>
      </c>
      <c r="X6" s="26">
        <f t="shared" si="0"/>
        <v>21</v>
      </c>
      <c r="Y6" s="26">
        <f t="shared" si="0"/>
        <v>22</v>
      </c>
      <c r="Z6" s="26">
        <f t="shared" si="0"/>
        <v>23</v>
      </c>
      <c r="AA6" s="26">
        <f t="shared" si="0"/>
        <v>24</v>
      </c>
      <c r="AB6" s="26">
        <f>AA6+1</f>
        <v>25</v>
      </c>
      <c r="AC6" s="26">
        <f t="shared" si="0"/>
        <v>26</v>
      </c>
      <c r="AD6" s="26">
        <f t="shared" si="0"/>
        <v>27</v>
      </c>
      <c r="AE6" s="26">
        <f t="shared" si="0"/>
        <v>28</v>
      </c>
      <c r="AF6" s="26">
        <f t="shared" si="0"/>
        <v>29</v>
      </c>
      <c r="AG6" s="26">
        <f t="shared" si="0"/>
        <v>30</v>
      </c>
    </row>
    <row r="7" spans="1:34" ht="15" customHeight="1">
      <c r="B7" s="68" t="s">
        <v>38</v>
      </c>
      <c r="C7" s="69"/>
      <c r="D7" s="55">
        <v>24.4</v>
      </c>
      <c r="E7" s="55">
        <v>24.2</v>
      </c>
      <c r="F7" s="55">
        <v>24.3</v>
      </c>
      <c r="G7" s="55">
        <v>23.9</v>
      </c>
      <c r="H7" s="55">
        <v>24.1</v>
      </c>
      <c r="I7" s="55">
        <v>24.4</v>
      </c>
      <c r="J7" s="55">
        <v>24.2</v>
      </c>
      <c r="K7" s="55">
        <v>24.3</v>
      </c>
      <c r="L7" s="55">
        <v>23.9</v>
      </c>
      <c r="M7" s="55">
        <v>24.1</v>
      </c>
      <c r="N7" s="55">
        <v>24.4</v>
      </c>
      <c r="O7" s="55">
        <v>24.2</v>
      </c>
      <c r="P7" s="55">
        <v>24.3</v>
      </c>
      <c r="Q7" s="55">
        <v>23.9</v>
      </c>
      <c r="R7" s="55">
        <v>24.1</v>
      </c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</row>
    <row r="8" spans="1:34" ht="7.9" customHeight="1"/>
    <row r="9" spans="1:34" ht="7.9" customHeight="1"/>
    <row r="10" spans="1:34" ht="7.9" customHeight="1"/>
    <row r="11" spans="1:34" ht="7.9" customHeight="1"/>
    <row r="12" spans="1:34" ht="7.9" customHeight="1"/>
    <row r="13" spans="1:34" ht="7.9" customHeight="1"/>
    <row r="14" spans="1:34" ht="7.9" customHeight="1"/>
    <row r="15" spans="1:34" ht="6" customHeight="1"/>
    <row r="16" spans="1:34" ht="7.9" customHeight="1"/>
    <row r="17" spans="34:36" ht="7.9" customHeight="1"/>
    <row r="18" spans="34:36" ht="7.9" customHeight="1"/>
    <row r="19" spans="34:36" ht="7.9" customHeight="1">
      <c r="AH19" s="57" t="s">
        <v>35</v>
      </c>
      <c r="AI19" s="58">
        <f>+'LIMITES '!G3</f>
        <v>24.167580697422895</v>
      </c>
      <c r="AJ19" s="58"/>
    </row>
    <row r="20" spans="34:36" ht="9" customHeight="1">
      <c r="AH20" s="57"/>
      <c r="AI20" s="58"/>
      <c r="AJ20" s="58"/>
    </row>
    <row r="21" spans="34:36" ht="7.9" customHeight="1">
      <c r="AH21" s="56"/>
      <c r="AI21" s="56"/>
      <c r="AJ21" s="56"/>
    </row>
    <row r="22" spans="34:36" ht="7.9" customHeight="1"/>
    <row r="23" spans="34:36" ht="9" customHeight="1"/>
    <row r="24" spans="34:36" ht="7.9" customHeight="1">
      <c r="AH24" s="57" t="s">
        <v>34</v>
      </c>
      <c r="AI24" s="58">
        <f>+'LIMITES '!F3</f>
        <v>23.678387131615263</v>
      </c>
      <c r="AJ24" s="58"/>
    </row>
    <row r="25" spans="34:36" ht="7.9" customHeight="1">
      <c r="AH25" s="57"/>
      <c r="AI25" s="58"/>
      <c r="AJ25" s="58"/>
    </row>
    <row r="26" spans="34:36" ht="7.9" customHeight="1">
      <c r="AH26" s="56"/>
      <c r="AI26" s="56"/>
      <c r="AJ26" s="56"/>
    </row>
    <row r="27" spans="34:36" ht="7.9" customHeight="1">
      <c r="AH27" s="56"/>
      <c r="AI27" s="56"/>
      <c r="AJ27" s="56"/>
    </row>
    <row r="28" spans="34:36" ht="7.9" customHeight="1">
      <c r="AH28" s="56"/>
      <c r="AI28" s="56"/>
      <c r="AJ28" s="56"/>
    </row>
    <row r="29" spans="34:36" ht="7.9" customHeight="1"/>
    <row r="30" spans="34:36" ht="7.9" customHeight="1"/>
    <row r="31" spans="34:36" ht="7.9" customHeight="1">
      <c r="AH31" s="56"/>
      <c r="AI31" s="56"/>
      <c r="AJ31" s="56"/>
    </row>
    <row r="32" spans="34:36" ht="7.9" customHeight="1">
      <c r="AH32" s="57" t="s">
        <v>11</v>
      </c>
      <c r="AI32" s="58">
        <f>+'LIMITES '!E3</f>
        <v>22.7</v>
      </c>
      <c r="AJ32" s="58"/>
    </row>
    <row r="33" spans="34:36" ht="7.9" customHeight="1">
      <c r="AH33" s="57"/>
      <c r="AI33" s="58"/>
      <c r="AJ33" s="58"/>
    </row>
    <row r="34" spans="34:36" ht="7.9" customHeight="1"/>
    <row r="35" spans="34:36" ht="7.9" customHeight="1">
      <c r="AH35" s="56"/>
      <c r="AI35" s="56"/>
      <c r="AJ35" s="56"/>
    </row>
    <row r="36" spans="34:36" ht="7.9" customHeight="1"/>
    <row r="37" spans="34:36" ht="7.9" customHeight="1"/>
    <row r="38" spans="34:36" ht="7.9" customHeight="1">
      <c r="AH38" s="56"/>
      <c r="AI38" s="56"/>
      <c r="AJ38" s="56"/>
    </row>
    <row r="39" spans="34:36" ht="7.9" customHeight="1">
      <c r="AH39" s="56"/>
      <c r="AI39" s="56"/>
      <c r="AJ39" s="56"/>
    </row>
    <row r="40" spans="34:36" ht="7.9" customHeight="1"/>
    <row r="41" spans="34:36" ht="7.9" customHeight="1">
      <c r="AH41" s="57" t="s">
        <v>37</v>
      </c>
      <c r="AI41" s="58">
        <f>+'LIMITES '!D3</f>
        <v>21.721612868384735</v>
      </c>
      <c r="AJ41" s="58"/>
    </row>
    <row r="42" spans="34:36" ht="7.9" customHeight="1">
      <c r="AH42" s="57"/>
      <c r="AI42" s="58"/>
      <c r="AJ42" s="58"/>
    </row>
    <row r="43" spans="34:36" ht="7.9" customHeight="1"/>
    <row r="44" spans="34:36" ht="7.9" customHeight="1"/>
    <row r="45" spans="34:36" ht="7.9" customHeight="1">
      <c r="AH45" s="57" t="s">
        <v>36</v>
      </c>
      <c r="AI45" s="58">
        <f>+'LIMITES '!C3</f>
        <v>21.232419302577103</v>
      </c>
      <c r="AJ45" s="58"/>
    </row>
    <row r="46" spans="34:36" ht="7.9" customHeight="1">
      <c r="AH46" s="57"/>
      <c r="AI46" s="58"/>
      <c r="AJ46" s="58"/>
    </row>
    <row r="47" spans="34:36" ht="7.9" customHeight="1"/>
    <row r="48" spans="34:36" ht="7.9" customHeight="1"/>
    <row r="49" spans="35:37" ht="7.9" customHeight="1"/>
    <row r="50" spans="35:37" ht="7.9" customHeight="1"/>
    <row r="51" spans="35:37" ht="7.9" customHeight="1"/>
    <row r="52" spans="35:37" ht="7.9" customHeight="1"/>
    <row r="53" spans="35:37" ht="7.9" customHeight="1"/>
    <row r="54" spans="35:37" ht="7.9" customHeight="1"/>
    <row r="55" spans="35:37" ht="7.9" customHeight="1"/>
    <row r="56" spans="35:37" ht="7.9" customHeight="1"/>
    <row r="57" spans="35:37" ht="7.9" customHeight="1"/>
    <row r="58" spans="35:37" ht="7.9" customHeight="1"/>
    <row r="59" spans="35:37" ht="7.9" customHeight="1"/>
    <row r="60" spans="35:37" ht="7.9" customHeight="1"/>
    <row r="61" spans="35:37" ht="7.9" customHeight="1"/>
    <row r="62" spans="35:37" ht="9.75" customHeight="1"/>
    <row r="63" spans="35:37" ht="10.5" customHeight="1">
      <c r="AI63" s="30"/>
      <c r="AK63" s="29"/>
    </row>
    <row r="64" spans="35:37" ht="9" customHeight="1">
      <c r="AI64" s="30"/>
      <c r="AK64" s="29"/>
    </row>
    <row r="65" spans="31:37" ht="10.5" customHeight="1">
      <c r="AI65" s="30"/>
      <c r="AK65" s="29"/>
    </row>
    <row r="66" spans="31:37" ht="10.5" customHeight="1">
      <c r="AI66" s="31"/>
      <c r="AJ66" s="32"/>
      <c r="AK66" s="29"/>
    </row>
    <row r="67" spans="31:37" ht="12.75" customHeight="1">
      <c r="AI67" s="30"/>
      <c r="AJ67" s="33"/>
    </row>
    <row r="68" spans="31:37" ht="8.25" customHeight="1">
      <c r="AE68" s="29"/>
    </row>
    <row r="131" ht="6" customHeight="1"/>
  </sheetData>
  <mergeCells count="21">
    <mergeCell ref="B7:C7"/>
    <mergeCell ref="B6:C6"/>
    <mergeCell ref="AC1:AG1"/>
    <mergeCell ref="AC2:AG2"/>
    <mergeCell ref="D1:Z1"/>
    <mergeCell ref="AH41:AH42"/>
    <mergeCell ref="AI41:AJ42"/>
    <mergeCell ref="AH45:AH46"/>
    <mergeCell ref="AI45:AJ46"/>
    <mergeCell ref="A1:C2"/>
    <mergeCell ref="AI32:AJ33"/>
    <mergeCell ref="AH32:AH33"/>
    <mergeCell ref="AH19:AH20"/>
    <mergeCell ref="AI19:AJ20"/>
    <mergeCell ref="AH24:AH25"/>
    <mergeCell ref="D2:Z2"/>
    <mergeCell ref="AI24:AJ25"/>
    <mergeCell ref="AA1:AB1"/>
    <mergeCell ref="AA2:AB2"/>
    <mergeCell ref="B4:I4"/>
    <mergeCell ref="J4:AH4"/>
  </mergeCells>
  <pageMargins left="0.47244094488188981" right="0.27559055118110237" top="0.59055118110236227" bottom="0.6692913385826772" header="0.15748031496062992" footer="0.15748031496062992"/>
  <pageSetup paperSize="9" orientation="landscape" r:id="rId1"/>
  <headerFooter>
    <oddHeader>Page &amp;P of &amp;N</oddHeader>
  </headerFooter>
  <rowBreaks count="3" manualBreakCount="3">
    <brk id="65" max="36" man="1"/>
    <brk id="66" max="36" man="1"/>
    <brk id="67" max="36" man="1"/>
  </rowBreaks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B1:AK133"/>
  <sheetViews>
    <sheetView view="pageBreakPreview" topLeftCell="A23" zoomScale="120" zoomScaleNormal="112" zoomScaleSheetLayoutView="120" zoomScalePageLayoutView="96" workbookViewId="0">
      <selection activeCell="AI28" sqref="AI28"/>
    </sheetView>
  </sheetViews>
  <sheetFormatPr defaultColWidth="11.453125" defaultRowHeight="12.5"/>
  <cols>
    <col min="1" max="1" width="3.26953125" style="1" customWidth="1"/>
    <col min="2" max="2" width="7.1796875" style="1" customWidth="1"/>
    <col min="3" max="3" width="7.453125" style="1" customWidth="1"/>
    <col min="4" max="6" width="4" style="1" customWidth="1"/>
    <col min="7" max="7" width="3.54296875" style="1" customWidth="1"/>
    <col min="8" max="26" width="4" style="1" customWidth="1"/>
    <col min="27" max="27" width="4.54296875" style="1" customWidth="1"/>
    <col min="28" max="28" width="4.453125" style="1" customWidth="1"/>
    <col min="29" max="33" width="4" style="1" customWidth="1"/>
    <col min="34" max="34" width="3.81640625" style="1" customWidth="1"/>
    <col min="35" max="37" width="4.7265625" style="1" customWidth="1"/>
    <col min="38" max="56" width="4" style="1" customWidth="1"/>
    <col min="57" max="16384" width="11.453125" style="1"/>
  </cols>
  <sheetData>
    <row r="1" spans="2:33" ht="7.5" hidden="1" customHeight="1"/>
    <row r="2" spans="2:33" ht="16.5" customHeight="1">
      <c r="E2" s="11"/>
      <c r="F2" s="11"/>
      <c r="G2" s="11"/>
      <c r="H2" s="11"/>
      <c r="I2" s="83" t="s">
        <v>5</v>
      </c>
      <c r="J2" s="83"/>
      <c r="K2" s="83"/>
      <c r="L2" s="83"/>
      <c r="M2" s="83"/>
      <c r="N2" s="83"/>
      <c r="O2" s="83"/>
      <c r="P2" s="83" t="s">
        <v>6</v>
      </c>
      <c r="Q2" s="83"/>
      <c r="R2" s="83"/>
      <c r="S2" s="83"/>
      <c r="T2" s="84"/>
      <c r="U2" s="21" t="s">
        <v>4</v>
      </c>
      <c r="V2" s="85" t="s">
        <v>7</v>
      </c>
      <c r="W2" s="83"/>
      <c r="X2" s="84"/>
      <c r="Y2" s="21"/>
      <c r="Z2" s="22"/>
      <c r="AB2" s="11"/>
      <c r="AC2" s="11"/>
      <c r="AD2" s="11"/>
      <c r="AE2" s="11"/>
      <c r="AF2" s="11"/>
      <c r="AG2" s="11"/>
    </row>
    <row r="3" spans="2:33" ht="14.25" customHeight="1"/>
    <row r="4" spans="2:33" ht="16.5" customHeight="1">
      <c r="B4" s="86" t="s">
        <v>0</v>
      </c>
      <c r="C4" s="86"/>
      <c r="D4" s="86"/>
      <c r="E4" s="23" t="s">
        <v>13</v>
      </c>
      <c r="F4" s="23"/>
      <c r="G4" s="23"/>
      <c r="H4" s="23"/>
      <c r="I4" s="23"/>
      <c r="J4" s="23"/>
      <c r="K4" s="23"/>
      <c r="L4" s="23"/>
      <c r="M4" s="23"/>
      <c r="N4" s="23"/>
      <c r="O4" s="24"/>
      <c r="P4" s="25"/>
      <c r="S4" s="87" t="s">
        <v>8</v>
      </c>
      <c r="T4" s="87"/>
      <c r="U4" s="87"/>
      <c r="V4" s="87"/>
      <c r="W4" s="87"/>
      <c r="X4" s="87"/>
      <c r="Y4" s="87"/>
      <c r="Z4" s="87"/>
      <c r="AA4" s="76" t="s">
        <v>12</v>
      </c>
      <c r="AB4" s="76"/>
      <c r="AC4" s="76"/>
      <c r="AD4" s="76"/>
      <c r="AE4" s="76"/>
      <c r="AF4" s="76"/>
    </row>
    <row r="5" spans="2:33" ht="7.5" customHeight="1"/>
    <row r="6" spans="2:33" ht="14.25" customHeight="1">
      <c r="B6" s="70" t="s">
        <v>9</v>
      </c>
      <c r="C6" s="71"/>
      <c r="D6" s="26">
        <v>1</v>
      </c>
      <c r="E6" s="26">
        <f>D6+1</f>
        <v>2</v>
      </c>
      <c r="F6" s="26">
        <f t="shared" ref="F6:AG6" si="0">E6+1</f>
        <v>3</v>
      </c>
      <c r="G6" s="26">
        <f t="shared" si="0"/>
        <v>4</v>
      </c>
      <c r="H6" s="26">
        <f t="shared" si="0"/>
        <v>5</v>
      </c>
      <c r="I6" s="26">
        <f t="shared" si="0"/>
        <v>6</v>
      </c>
      <c r="J6" s="26">
        <f t="shared" si="0"/>
        <v>7</v>
      </c>
      <c r="K6" s="26">
        <f t="shared" si="0"/>
        <v>8</v>
      </c>
      <c r="L6" s="27">
        <f t="shared" si="0"/>
        <v>9</v>
      </c>
      <c r="M6" s="26">
        <f t="shared" si="0"/>
        <v>10</v>
      </c>
      <c r="N6" s="28">
        <f t="shared" si="0"/>
        <v>11</v>
      </c>
      <c r="O6" s="26">
        <f t="shared" si="0"/>
        <v>12</v>
      </c>
      <c r="P6" s="26">
        <f t="shared" si="0"/>
        <v>13</v>
      </c>
      <c r="Q6" s="26">
        <f t="shared" si="0"/>
        <v>14</v>
      </c>
      <c r="R6" s="26">
        <f t="shared" si="0"/>
        <v>15</v>
      </c>
      <c r="S6" s="26">
        <f t="shared" si="0"/>
        <v>16</v>
      </c>
      <c r="T6" s="26">
        <f t="shared" si="0"/>
        <v>17</v>
      </c>
      <c r="U6" s="26">
        <f t="shared" si="0"/>
        <v>18</v>
      </c>
      <c r="V6" s="26">
        <f t="shared" si="0"/>
        <v>19</v>
      </c>
      <c r="W6" s="26">
        <f t="shared" si="0"/>
        <v>20</v>
      </c>
      <c r="X6" s="26">
        <f t="shared" si="0"/>
        <v>21</v>
      </c>
      <c r="Y6" s="26">
        <f t="shared" si="0"/>
        <v>22</v>
      </c>
      <c r="Z6" s="26">
        <f t="shared" si="0"/>
        <v>23</v>
      </c>
      <c r="AA6" s="26">
        <f t="shared" si="0"/>
        <v>24</v>
      </c>
      <c r="AB6" s="26">
        <f>AA6+1</f>
        <v>25</v>
      </c>
      <c r="AC6" s="26">
        <f t="shared" si="0"/>
        <v>26</v>
      </c>
      <c r="AD6" s="26">
        <f t="shared" si="0"/>
        <v>27</v>
      </c>
      <c r="AE6" s="26">
        <f t="shared" si="0"/>
        <v>28</v>
      </c>
      <c r="AF6" s="26">
        <f t="shared" si="0"/>
        <v>29</v>
      </c>
      <c r="AG6" s="26">
        <f t="shared" si="0"/>
        <v>30</v>
      </c>
    </row>
    <row r="7" spans="2:33" ht="15" customHeight="1">
      <c r="B7" s="70" t="s">
        <v>27</v>
      </c>
      <c r="C7" s="71"/>
      <c r="D7" s="47">
        <v>20</v>
      </c>
      <c r="E7" s="47">
        <v>21.5</v>
      </c>
      <c r="F7" s="47">
        <v>22.6</v>
      </c>
      <c r="G7" s="47">
        <v>23.5</v>
      </c>
      <c r="H7" s="47">
        <v>19.8</v>
      </c>
      <c r="I7" s="47">
        <v>20.399999999999999</v>
      </c>
      <c r="J7" s="47">
        <v>22.5</v>
      </c>
      <c r="K7" s="47">
        <v>23.5</v>
      </c>
      <c r="L7" s="47">
        <v>22.2</v>
      </c>
      <c r="M7" s="47">
        <v>20.9</v>
      </c>
      <c r="N7" s="47">
        <v>19.5</v>
      </c>
      <c r="O7" s="47">
        <v>20.7</v>
      </c>
      <c r="P7" s="47">
        <v>21.8</v>
      </c>
      <c r="Q7" s="47">
        <v>21.8</v>
      </c>
      <c r="R7" s="47">
        <v>22.5</v>
      </c>
      <c r="S7" s="47">
        <v>22.5</v>
      </c>
      <c r="T7" s="47">
        <v>22.7</v>
      </c>
      <c r="U7" s="47">
        <v>21.9</v>
      </c>
      <c r="V7" s="47">
        <v>22.8</v>
      </c>
      <c r="W7" s="47">
        <v>22.6</v>
      </c>
      <c r="X7" s="47">
        <v>23.5</v>
      </c>
      <c r="Y7" s="47">
        <v>21.8</v>
      </c>
      <c r="Z7" s="47">
        <v>22.8</v>
      </c>
      <c r="AA7" s="47">
        <v>22.9</v>
      </c>
      <c r="AB7" s="47">
        <v>19.7</v>
      </c>
      <c r="AC7" s="47">
        <v>19.899999999999999</v>
      </c>
      <c r="AD7" s="47">
        <v>20.399999999999999</v>
      </c>
      <c r="AE7" s="47">
        <v>19.899999999999999</v>
      </c>
      <c r="AF7" s="47">
        <v>22.7</v>
      </c>
      <c r="AG7" s="47">
        <v>22.9</v>
      </c>
    </row>
    <row r="8" spans="2:33" ht="7.9" customHeight="1">
      <c r="B8" s="88" t="s">
        <v>10</v>
      </c>
      <c r="C8" s="88"/>
      <c r="D8" s="77"/>
      <c r="E8" s="78"/>
      <c r="F8" s="79"/>
      <c r="G8" s="77"/>
      <c r="H8" s="78"/>
      <c r="I8" s="79"/>
      <c r="J8" s="77"/>
      <c r="K8" s="78"/>
      <c r="L8" s="79"/>
      <c r="M8" s="77"/>
      <c r="N8" s="78"/>
      <c r="O8" s="79"/>
      <c r="P8" s="77"/>
      <c r="Q8" s="78"/>
      <c r="R8" s="79"/>
      <c r="S8" s="77"/>
      <c r="T8" s="78"/>
      <c r="U8" s="79"/>
      <c r="V8" s="77"/>
      <c r="W8" s="78"/>
      <c r="X8" s="79"/>
      <c r="Y8" s="77"/>
      <c r="Z8" s="78"/>
      <c r="AA8" s="79"/>
      <c r="AB8" s="77"/>
      <c r="AC8" s="78"/>
      <c r="AD8" s="79"/>
      <c r="AE8" s="77"/>
      <c r="AF8" s="78"/>
      <c r="AG8" s="79"/>
    </row>
    <row r="9" spans="2:33" ht="7.9" customHeight="1">
      <c r="B9" s="88"/>
      <c r="C9" s="88"/>
      <c r="D9" s="80"/>
      <c r="E9" s="81"/>
      <c r="F9" s="82"/>
      <c r="G9" s="80"/>
      <c r="H9" s="81"/>
      <c r="I9" s="82"/>
      <c r="J9" s="80"/>
      <c r="K9" s="81"/>
      <c r="L9" s="82"/>
      <c r="M9" s="80"/>
      <c r="N9" s="81"/>
      <c r="O9" s="82"/>
      <c r="P9" s="80"/>
      <c r="Q9" s="81"/>
      <c r="R9" s="82"/>
      <c r="S9" s="80"/>
      <c r="T9" s="81"/>
      <c r="U9" s="82"/>
      <c r="V9" s="80"/>
      <c r="W9" s="81"/>
      <c r="X9" s="82"/>
      <c r="Y9" s="80"/>
      <c r="Z9" s="81"/>
      <c r="AA9" s="82"/>
      <c r="AB9" s="80"/>
      <c r="AC9" s="81"/>
      <c r="AD9" s="82"/>
      <c r="AE9" s="80"/>
      <c r="AF9" s="81"/>
      <c r="AG9" s="82"/>
    </row>
    <row r="10" spans="2:33" ht="7.9" customHeight="1"/>
    <row r="11" spans="2:33" ht="7.9" customHeight="1"/>
    <row r="12" spans="2:33" ht="7.9" customHeight="1"/>
    <row r="13" spans="2:33" ht="7.9" customHeight="1"/>
    <row r="14" spans="2:33" ht="7.9" customHeight="1"/>
    <row r="15" spans="2:33" ht="7.9" customHeight="1"/>
    <row r="16" spans="2:33" ht="7.9" customHeight="1"/>
    <row r="17" ht="6" customHeight="1"/>
    <row r="18" ht="7.9" customHeight="1"/>
    <row r="19" ht="7.9" customHeight="1"/>
    <row r="20" ht="7.9" customHeight="1"/>
    <row r="21" ht="7.9" customHeight="1"/>
    <row r="22" ht="9" customHeight="1"/>
    <row r="23" ht="7.9" customHeight="1"/>
    <row r="24" ht="7.9" customHeight="1"/>
    <row r="25" ht="9" customHeight="1"/>
    <row r="26" ht="7.9" customHeight="1"/>
    <row r="27" ht="7.9" customHeight="1"/>
    <row r="28" ht="7.9" customHeight="1"/>
    <row r="29" ht="7.9" customHeight="1"/>
    <row r="30" ht="7.9" customHeight="1"/>
    <row r="31" ht="7.9" customHeight="1"/>
    <row r="32" ht="7.9" customHeight="1"/>
    <row r="33" ht="7.9" customHeight="1"/>
    <row r="34" ht="7.9" customHeight="1"/>
    <row r="35" ht="7.9" customHeight="1"/>
    <row r="36" ht="7.9" customHeight="1"/>
    <row r="37" ht="7.9" customHeight="1"/>
    <row r="38" ht="7.9" customHeight="1"/>
    <row r="39" ht="7.9" customHeight="1"/>
    <row r="40" ht="7.9" customHeight="1"/>
    <row r="41" ht="7.9" customHeight="1"/>
    <row r="42" ht="7.9" customHeight="1"/>
    <row r="43" ht="7.9" customHeight="1"/>
    <row r="44" ht="7.9" customHeight="1"/>
    <row r="45" ht="7.9" customHeight="1"/>
    <row r="46" ht="7.9" customHeight="1"/>
    <row r="47" ht="7.9" customHeight="1"/>
    <row r="48" ht="7.9" customHeight="1"/>
    <row r="49" ht="7.9" customHeight="1"/>
    <row r="50" ht="7.9" customHeight="1"/>
    <row r="51" ht="7.9" customHeight="1"/>
    <row r="52" ht="7.9" customHeight="1"/>
    <row r="53" ht="7.9" customHeight="1"/>
    <row r="54" ht="7.9" customHeight="1"/>
    <row r="55" ht="7.9" customHeight="1"/>
    <row r="56" ht="7.9" customHeight="1"/>
    <row r="57" ht="7.9" customHeight="1"/>
    <row r="58" ht="7.9" customHeight="1"/>
    <row r="59" ht="7.9" customHeight="1"/>
    <row r="60" ht="7.9" customHeight="1"/>
    <row r="61" ht="7.9" customHeight="1"/>
    <row r="62" ht="7.9" customHeight="1"/>
    <row r="63" ht="7.9" customHeight="1"/>
    <row r="64" ht="9.75" customHeight="1"/>
    <row r="65" spans="31:37" ht="10.5" customHeight="1">
      <c r="AI65" s="30"/>
      <c r="AK65" s="29"/>
    </row>
    <row r="66" spans="31:37" ht="9" customHeight="1">
      <c r="AI66" s="30"/>
      <c r="AK66" s="29"/>
    </row>
    <row r="67" spans="31:37" ht="10.5" customHeight="1">
      <c r="AI67" s="30"/>
      <c r="AK67" s="29"/>
    </row>
    <row r="68" spans="31:37" ht="10.5" customHeight="1">
      <c r="AI68" s="31"/>
      <c r="AJ68" s="32"/>
      <c r="AK68" s="29"/>
    </row>
    <row r="69" spans="31:37" ht="12.75" customHeight="1">
      <c r="AI69" s="30"/>
      <c r="AJ69" s="33"/>
    </row>
    <row r="70" spans="31:37" ht="8.25" customHeight="1">
      <c r="AE70" s="29"/>
    </row>
    <row r="133" ht="6" customHeight="1"/>
  </sheetData>
  <mergeCells count="19">
    <mergeCell ref="B4:D4"/>
    <mergeCell ref="S4:Z4"/>
    <mergeCell ref="B6:C6"/>
    <mergeCell ref="B7:C7"/>
    <mergeCell ref="B8:C9"/>
    <mergeCell ref="D8:F9"/>
    <mergeCell ref="G8:I9"/>
    <mergeCell ref="M8:O9"/>
    <mergeCell ref="P8:R9"/>
    <mergeCell ref="S8:U9"/>
    <mergeCell ref="V8:X9"/>
    <mergeCell ref="Y8:AA9"/>
    <mergeCell ref="AA4:AF4"/>
    <mergeCell ref="J8:L9"/>
    <mergeCell ref="I2:O2"/>
    <mergeCell ref="P2:T2"/>
    <mergeCell ref="V2:X2"/>
    <mergeCell ref="AE8:AG9"/>
    <mergeCell ref="AB8:AD9"/>
  </mergeCells>
  <pageMargins left="0.46" right="0.27559055118110237" top="0.59055118110236227" bottom="0.6692913385826772" header="0.15748031496062992" footer="0.15748031496062992"/>
  <pageSetup paperSize="9" orientation="landscape" r:id="rId1"/>
  <headerFooter>
    <oddHeader>&amp;L&amp;G</oddHeader>
    <oddFooter>&amp;RLE-R-CTH
Versión 02
2010-09-21</oddFooter>
  </headerFooter>
  <rowBreaks count="3" manualBreakCount="3">
    <brk id="67" max="36" man="1"/>
    <brk id="68" max="36" man="1"/>
    <brk id="69" max="36" man="1"/>
  </rowBreaks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O578"/>
  <sheetViews>
    <sheetView workbookViewId="0">
      <pane ySplit="3" topLeftCell="A19" activePane="bottomLeft" state="frozen"/>
      <selection pane="bottomLeft" activeCell="P1" sqref="P1:P1048576"/>
    </sheetView>
  </sheetViews>
  <sheetFormatPr defaultColWidth="11.453125" defaultRowHeight="15.5"/>
  <cols>
    <col min="1" max="1" width="3.1796875" style="34" customWidth="1"/>
    <col min="2" max="2" width="6.81640625" style="36" customWidth="1"/>
    <col min="3" max="4" width="13.7265625" style="36" customWidth="1"/>
    <col min="5" max="5" width="9.453125" style="36" customWidth="1"/>
    <col min="6" max="7" width="13.7265625" style="36" customWidth="1"/>
    <col min="8" max="8" width="2.81640625" style="36" customWidth="1"/>
    <col min="9" max="9" width="4.7265625" style="36" customWidth="1"/>
    <col min="10" max="10" width="10.7265625" style="35" customWidth="1"/>
    <col min="11" max="11" width="4.7265625" style="36" customWidth="1"/>
    <col min="12" max="12" width="4.26953125" style="34" customWidth="1"/>
    <col min="13" max="13" width="11.54296875" style="34" customWidth="1"/>
    <col min="14" max="16384" width="11.453125" style="34"/>
  </cols>
  <sheetData>
    <row r="1" spans="2:41" s="38" customFormat="1" ht="33.75" customHeight="1">
      <c r="B1" s="92" t="s">
        <v>14</v>
      </c>
      <c r="C1" s="40" t="s">
        <v>21</v>
      </c>
      <c r="D1" s="41" t="s">
        <v>19</v>
      </c>
      <c r="E1" s="42" t="s">
        <v>18</v>
      </c>
      <c r="F1" s="41" t="s">
        <v>20</v>
      </c>
      <c r="G1" s="40" t="s">
        <v>22</v>
      </c>
      <c r="I1" s="95" t="s">
        <v>14</v>
      </c>
      <c r="J1" s="98" t="s">
        <v>15</v>
      </c>
      <c r="K1" s="95" t="s">
        <v>14</v>
      </c>
      <c r="M1" s="90" t="s">
        <v>16</v>
      </c>
      <c r="N1" s="90" t="s">
        <v>17</v>
      </c>
    </row>
    <row r="2" spans="2:41" s="38" customFormat="1" ht="19.5" customHeight="1">
      <c r="B2" s="93"/>
      <c r="C2" s="43" t="s">
        <v>24</v>
      </c>
      <c r="D2" s="44" t="s">
        <v>23</v>
      </c>
      <c r="E2" s="45" t="s">
        <v>11</v>
      </c>
      <c r="F2" s="44" t="s">
        <v>25</v>
      </c>
      <c r="G2" s="43" t="s">
        <v>26</v>
      </c>
      <c r="I2" s="96"/>
      <c r="J2" s="99"/>
      <c r="K2" s="96"/>
      <c r="M2" s="91"/>
      <c r="N2" s="91"/>
    </row>
    <row r="3" spans="2:41" s="38" customFormat="1" ht="17.25" customHeight="1">
      <c r="B3" s="94"/>
      <c r="C3" s="49">
        <f t="shared" ref="C3:C33" si="0">E$3-3*N$3</f>
        <v>21.232419302577103</v>
      </c>
      <c r="D3" s="50">
        <f t="shared" ref="D3:D33" si="1">E$3-2*N$3</f>
        <v>21.721612868384735</v>
      </c>
      <c r="E3" s="51">
        <f>M3</f>
        <v>22.7</v>
      </c>
      <c r="F3" s="50">
        <f t="shared" ref="F3:F33" si="2">E$3+2*N$3</f>
        <v>23.678387131615263</v>
      </c>
      <c r="G3" s="49">
        <f t="shared" ref="G3:G33" si="3">E$3+3*N$3</f>
        <v>24.167580697422895</v>
      </c>
      <c r="I3" s="97"/>
      <c r="J3" s="100"/>
      <c r="K3" s="97"/>
      <c r="M3" s="46">
        <f>AVERAGE(J4:J33)</f>
        <v>22.7</v>
      </c>
      <c r="N3" s="46">
        <f>STDEV(J4:J33)</f>
        <v>0.48919356580763246</v>
      </c>
    </row>
    <row r="4" spans="2:41">
      <c r="B4" s="39">
        <v>1</v>
      </c>
      <c r="C4" s="49">
        <f t="shared" si="0"/>
        <v>21.232419302577103</v>
      </c>
      <c r="D4" s="50">
        <f t="shared" si="1"/>
        <v>21.721612868384735</v>
      </c>
      <c r="E4" s="51">
        <f>M3</f>
        <v>22.7</v>
      </c>
      <c r="F4" s="50">
        <f t="shared" si="2"/>
        <v>23.678387131615263</v>
      </c>
      <c r="G4" s="49">
        <f t="shared" si="3"/>
        <v>24.167580697422895</v>
      </c>
      <c r="I4" s="52">
        <v>1</v>
      </c>
      <c r="J4" s="53">
        <v>23.1</v>
      </c>
      <c r="K4" s="54">
        <v>32</v>
      </c>
      <c r="L4" s="37"/>
    </row>
    <row r="5" spans="2:41">
      <c r="B5" s="39">
        <v>2</v>
      </c>
      <c r="C5" s="49">
        <f t="shared" si="0"/>
        <v>21.232419302577103</v>
      </c>
      <c r="D5" s="50">
        <f t="shared" si="1"/>
        <v>21.721612868384735</v>
      </c>
      <c r="E5" s="51">
        <f>M$3</f>
        <v>22.7</v>
      </c>
      <c r="F5" s="50">
        <f t="shared" si="2"/>
        <v>23.678387131615263</v>
      </c>
      <c r="G5" s="49">
        <f t="shared" si="3"/>
        <v>24.167580697422895</v>
      </c>
      <c r="I5" s="52">
        <v>2</v>
      </c>
      <c r="J5" s="53">
        <v>22.9</v>
      </c>
      <c r="K5" s="54">
        <v>33</v>
      </c>
      <c r="L5" s="37"/>
    </row>
    <row r="6" spans="2:41">
      <c r="B6" s="39">
        <v>3</v>
      </c>
      <c r="C6" s="49">
        <f t="shared" si="0"/>
        <v>21.232419302577103</v>
      </c>
      <c r="D6" s="50">
        <f t="shared" si="1"/>
        <v>21.721612868384735</v>
      </c>
      <c r="E6" s="51">
        <f t="shared" ref="E6:E32" si="4">M$3</f>
        <v>22.7</v>
      </c>
      <c r="F6" s="50">
        <f t="shared" si="2"/>
        <v>23.678387131615263</v>
      </c>
      <c r="G6" s="49">
        <f t="shared" si="3"/>
        <v>24.167580697422895</v>
      </c>
      <c r="I6" s="54">
        <v>3</v>
      </c>
      <c r="J6" s="53">
        <v>23.1</v>
      </c>
      <c r="K6" s="54">
        <v>34</v>
      </c>
      <c r="L6" s="37"/>
    </row>
    <row r="7" spans="2:41">
      <c r="B7" s="39">
        <v>4</v>
      </c>
      <c r="C7" s="49">
        <f t="shared" si="0"/>
        <v>21.232419302577103</v>
      </c>
      <c r="D7" s="50">
        <f t="shared" si="1"/>
        <v>21.721612868384735</v>
      </c>
      <c r="E7" s="51">
        <f t="shared" si="4"/>
        <v>22.7</v>
      </c>
      <c r="F7" s="50">
        <f t="shared" si="2"/>
        <v>23.678387131615263</v>
      </c>
      <c r="G7" s="49">
        <f t="shared" si="3"/>
        <v>24.167580697422895</v>
      </c>
      <c r="I7" s="54">
        <v>4</v>
      </c>
      <c r="J7" s="53">
        <v>22.2</v>
      </c>
      <c r="K7" s="54">
        <v>35</v>
      </c>
      <c r="L7" s="37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</row>
    <row r="8" spans="2:41">
      <c r="B8" s="39">
        <v>5</v>
      </c>
      <c r="C8" s="49">
        <f t="shared" si="0"/>
        <v>21.232419302577103</v>
      </c>
      <c r="D8" s="50">
        <f t="shared" si="1"/>
        <v>21.721612868384735</v>
      </c>
      <c r="E8" s="51">
        <f t="shared" si="4"/>
        <v>22.7</v>
      </c>
      <c r="F8" s="50">
        <f t="shared" si="2"/>
        <v>23.678387131615263</v>
      </c>
      <c r="G8" s="49">
        <f t="shared" si="3"/>
        <v>24.167580697422895</v>
      </c>
      <c r="I8" s="54">
        <v>5</v>
      </c>
      <c r="J8" s="53">
        <v>22.1</v>
      </c>
      <c r="K8" s="54">
        <v>36</v>
      </c>
      <c r="L8" s="37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</row>
    <row r="9" spans="2:41">
      <c r="B9" s="39">
        <v>6</v>
      </c>
      <c r="C9" s="49">
        <f t="shared" si="0"/>
        <v>21.232419302577103</v>
      </c>
      <c r="D9" s="50">
        <f t="shared" si="1"/>
        <v>21.721612868384735</v>
      </c>
      <c r="E9" s="51">
        <f t="shared" si="4"/>
        <v>22.7</v>
      </c>
      <c r="F9" s="50">
        <f t="shared" si="2"/>
        <v>23.678387131615263</v>
      </c>
      <c r="G9" s="49">
        <f t="shared" si="3"/>
        <v>24.167580697422895</v>
      </c>
      <c r="I9" s="54">
        <v>6</v>
      </c>
      <c r="J9" s="53">
        <v>23.4</v>
      </c>
      <c r="K9" s="54">
        <v>37</v>
      </c>
      <c r="L9" s="37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</row>
    <row r="10" spans="2:41">
      <c r="B10" s="39">
        <v>7</v>
      </c>
      <c r="C10" s="49">
        <f t="shared" si="0"/>
        <v>21.232419302577103</v>
      </c>
      <c r="D10" s="50">
        <f t="shared" si="1"/>
        <v>21.721612868384735</v>
      </c>
      <c r="E10" s="51">
        <f t="shared" si="4"/>
        <v>22.7</v>
      </c>
      <c r="F10" s="50">
        <f t="shared" si="2"/>
        <v>23.678387131615263</v>
      </c>
      <c r="G10" s="49">
        <f t="shared" si="3"/>
        <v>24.167580697422895</v>
      </c>
      <c r="I10" s="54">
        <v>7</v>
      </c>
      <c r="J10" s="53">
        <v>22.8</v>
      </c>
      <c r="K10" s="54">
        <v>38</v>
      </c>
      <c r="L10" s="37"/>
    </row>
    <row r="11" spans="2:41">
      <c r="B11" s="39">
        <v>8</v>
      </c>
      <c r="C11" s="49">
        <f t="shared" si="0"/>
        <v>21.232419302577103</v>
      </c>
      <c r="D11" s="50">
        <f t="shared" si="1"/>
        <v>21.721612868384735</v>
      </c>
      <c r="E11" s="51">
        <f t="shared" si="4"/>
        <v>22.7</v>
      </c>
      <c r="F11" s="50">
        <f t="shared" si="2"/>
        <v>23.678387131615263</v>
      </c>
      <c r="G11" s="49">
        <f t="shared" si="3"/>
        <v>24.167580697422895</v>
      </c>
      <c r="I11" s="54">
        <v>8</v>
      </c>
      <c r="J11" s="53">
        <v>22.1</v>
      </c>
      <c r="K11" s="54">
        <v>39</v>
      </c>
      <c r="L11" s="37"/>
    </row>
    <row r="12" spans="2:41">
      <c r="B12" s="39">
        <v>9</v>
      </c>
      <c r="C12" s="49">
        <f t="shared" si="0"/>
        <v>21.232419302577103</v>
      </c>
      <c r="D12" s="50">
        <f t="shared" si="1"/>
        <v>21.721612868384735</v>
      </c>
      <c r="E12" s="51">
        <f t="shared" si="4"/>
        <v>22.7</v>
      </c>
      <c r="F12" s="50">
        <f t="shared" si="2"/>
        <v>23.678387131615263</v>
      </c>
      <c r="G12" s="49">
        <f t="shared" si="3"/>
        <v>24.167580697422895</v>
      </c>
      <c r="I12" s="54">
        <v>9</v>
      </c>
      <c r="J12" s="53">
        <v>23.1</v>
      </c>
      <c r="K12" s="54">
        <v>40</v>
      </c>
      <c r="L12" s="37"/>
    </row>
    <row r="13" spans="2:41">
      <c r="B13" s="39">
        <v>10</v>
      </c>
      <c r="C13" s="49">
        <f t="shared" si="0"/>
        <v>21.232419302577103</v>
      </c>
      <c r="D13" s="50">
        <f t="shared" si="1"/>
        <v>21.721612868384735</v>
      </c>
      <c r="E13" s="51">
        <f t="shared" si="4"/>
        <v>22.7</v>
      </c>
      <c r="F13" s="50">
        <f t="shared" si="2"/>
        <v>23.678387131615263</v>
      </c>
      <c r="G13" s="49">
        <f t="shared" si="3"/>
        <v>24.167580697422895</v>
      </c>
      <c r="I13" s="54">
        <v>10</v>
      </c>
      <c r="J13" s="53">
        <v>22.3</v>
      </c>
      <c r="K13" s="54">
        <v>41</v>
      </c>
      <c r="L13" s="37"/>
    </row>
    <row r="14" spans="2:41">
      <c r="B14" s="39">
        <v>11</v>
      </c>
      <c r="C14" s="49">
        <f t="shared" si="0"/>
        <v>21.232419302577103</v>
      </c>
      <c r="D14" s="50">
        <f t="shared" si="1"/>
        <v>21.721612868384735</v>
      </c>
      <c r="E14" s="51">
        <f t="shared" si="4"/>
        <v>22.7</v>
      </c>
      <c r="F14" s="50">
        <f t="shared" si="2"/>
        <v>23.678387131615263</v>
      </c>
      <c r="G14" s="49">
        <f t="shared" si="3"/>
        <v>24.167580697422895</v>
      </c>
      <c r="I14" s="54">
        <v>11</v>
      </c>
      <c r="J14" s="53">
        <v>22.2</v>
      </c>
      <c r="K14" s="54">
        <v>42</v>
      </c>
      <c r="L14" s="37"/>
    </row>
    <row r="15" spans="2:41">
      <c r="B15" s="39">
        <v>12</v>
      </c>
      <c r="C15" s="49">
        <f t="shared" si="0"/>
        <v>21.232419302577103</v>
      </c>
      <c r="D15" s="50">
        <f t="shared" si="1"/>
        <v>21.721612868384735</v>
      </c>
      <c r="E15" s="51">
        <f t="shared" si="4"/>
        <v>22.7</v>
      </c>
      <c r="F15" s="50">
        <f t="shared" si="2"/>
        <v>23.678387131615263</v>
      </c>
      <c r="G15" s="49">
        <f t="shared" si="3"/>
        <v>24.167580697422895</v>
      </c>
      <c r="I15" s="54">
        <v>12</v>
      </c>
      <c r="J15" s="53">
        <v>22.5</v>
      </c>
      <c r="K15" s="54">
        <v>43</v>
      </c>
      <c r="L15" s="37"/>
      <c r="M15" s="37"/>
    </row>
    <row r="16" spans="2:41">
      <c r="B16" s="39">
        <v>13</v>
      </c>
      <c r="C16" s="49">
        <f t="shared" si="0"/>
        <v>21.232419302577103</v>
      </c>
      <c r="D16" s="50">
        <f t="shared" si="1"/>
        <v>21.721612868384735</v>
      </c>
      <c r="E16" s="51">
        <f t="shared" si="4"/>
        <v>22.7</v>
      </c>
      <c r="F16" s="50">
        <f t="shared" si="2"/>
        <v>23.678387131615263</v>
      </c>
      <c r="G16" s="49">
        <f t="shared" si="3"/>
        <v>24.167580697422895</v>
      </c>
      <c r="I16" s="54">
        <v>13</v>
      </c>
      <c r="J16" s="53">
        <v>21.9</v>
      </c>
      <c r="K16" s="54">
        <v>44</v>
      </c>
      <c r="L16" s="37"/>
      <c r="M16" s="37"/>
    </row>
    <row r="17" spans="2:12">
      <c r="B17" s="39">
        <v>14</v>
      </c>
      <c r="C17" s="49">
        <f t="shared" si="0"/>
        <v>21.232419302577103</v>
      </c>
      <c r="D17" s="50">
        <f t="shared" si="1"/>
        <v>21.721612868384735</v>
      </c>
      <c r="E17" s="51">
        <f t="shared" si="4"/>
        <v>22.7</v>
      </c>
      <c r="F17" s="50">
        <f t="shared" si="2"/>
        <v>23.678387131615263</v>
      </c>
      <c r="G17" s="49">
        <f t="shared" si="3"/>
        <v>24.167580697422895</v>
      </c>
      <c r="I17" s="54">
        <v>14</v>
      </c>
      <c r="J17" s="53">
        <v>22.2</v>
      </c>
      <c r="K17" s="54">
        <v>45</v>
      </c>
      <c r="L17" s="37"/>
    </row>
    <row r="18" spans="2:12">
      <c r="B18" s="39">
        <v>15</v>
      </c>
      <c r="C18" s="49">
        <f t="shared" si="0"/>
        <v>21.232419302577103</v>
      </c>
      <c r="D18" s="50">
        <f t="shared" si="1"/>
        <v>21.721612868384735</v>
      </c>
      <c r="E18" s="51">
        <f t="shared" si="4"/>
        <v>22.7</v>
      </c>
      <c r="F18" s="50">
        <f t="shared" si="2"/>
        <v>23.678387131615263</v>
      </c>
      <c r="G18" s="49">
        <f t="shared" si="3"/>
        <v>24.167580697422895</v>
      </c>
      <c r="I18" s="54">
        <v>15</v>
      </c>
      <c r="J18" s="53">
        <v>22.3</v>
      </c>
      <c r="K18" s="54">
        <v>46</v>
      </c>
      <c r="L18" s="37"/>
    </row>
    <row r="19" spans="2:12">
      <c r="B19" s="39">
        <v>16</v>
      </c>
      <c r="C19" s="49">
        <f t="shared" si="0"/>
        <v>21.232419302577103</v>
      </c>
      <c r="D19" s="50">
        <f t="shared" si="1"/>
        <v>21.721612868384735</v>
      </c>
      <c r="E19" s="51">
        <f t="shared" si="4"/>
        <v>22.7</v>
      </c>
      <c r="F19" s="50">
        <f t="shared" si="2"/>
        <v>23.678387131615263</v>
      </c>
      <c r="G19" s="49">
        <f t="shared" si="3"/>
        <v>24.167580697422895</v>
      </c>
      <c r="I19" s="54">
        <v>16</v>
      </c>
      <c r="J19" s="53">
        <v>23.1</v>
      </c>
      <c r="K19" s="54">
        <v>47</v>
      </c>
      <c r="L19" s="37"/>
    </row>
    <row r="20" spans="2:12">
      <c r="B20" s="39">
        <v>17</v>
      </c>
      <c r="C20" s="49">
        <f t="shared" si="0"/>
        <v>21.232419302577103</v>
      </c>
      <c r="D20" s="50">
        <f t="shared" si="1"/>
        <v>21.721612868384735</v>
      </c>
      <c r="E20" s="51">
        <f t="shared" si="4"/>
        <v>22.7</v>
      </c>
      <c r="F20" s="50">
        <f t="shared" si="2"/>
        <v>23.678387131615263</v>
      </c>
      <c r="G20" s="49">
        <f t="shared" si="3"/>
        <v>24.167580697422895</v>
      </c>
      <c r="I20" s="54">
        <v>17</v>
      </c>
      <c r="J20" s="53">
        <v>23.2</v>
      </c>
      <c r="K20" s="54">
        <v>48</v>
      </c>
      <c r="L20" s="37"/>
    </row>
    <row r="21" spans="2:12">
      <c r="B21" s="39">
        <v>18</v>
      </c>
      <c r="C21" s="49">
        <f t="shared" si="0"/>
        <v>21.232419302577103</v>
      </c>
      <c r="D21" s="50">
        <f t="shared" si="1"/>
        <v>21.721612868384735</v>
      </c>
      <c r="E21" s="51">
        <f t="shared" si="4"/>
        <v>22.7</v>
      </c>
      <c r="F21" s="50">
        <f t="shared" si="2"/>
        <v>23.678387131615263</v>
      </c>
      <c r="G21" s="49">
        <f t="shared" si="3"/>
        <v>24.167580697422895</v>
      </c>
      <c r="I21" s="54">
        <v>18</v>
      </c>
      <c r="J21" s="53">
        <v>22.5</v>
      </c>
      <c r="K21" s="54">
        <v>49</v>
      </c>
      <c r="L21" s="37"/>
    </row>
    <row r="22" spans="2:12">
      <c r="B22" s="39">
        <v>19</v>
      </c>
      <c r="C22" s="49">
        <f t="shared" si="0"/>
        <v>21.232419302577103</v>
      </c>
      <c r="D22" s="50">
        <f t="shared" si="1"/>
        <v>21.721612868384735</v>
      </c>
      <c r="E22" s="51">
        <f t="shared" si="4"/>
        <v>22.7</v>
      </c>
      <c r="F22" s="50">
        <f t="shared" si="2"/>
        <v>23.678387131615263</v>
      </c>
      <c r="G22" s="49">
        <f t="shared" si="3"/>
        <v>24.167580697422895</v>
      </c>
      <c r="I22" s="54">
        <v>19</v>
      </c>
      <c r="J22" s="53">
        <v>21.9</v>
      </c>
      <c r="K22" s="54">
        <v>50</v>
      </c>
      <c r="L22" s="37"/>
    </row>
    <row r="23" spans="2:12">
      <c r="B23" s="39">
        <v>20</v>
      </c>
      <c r="C23" s="49">
        <f t="shared" si="0"/>
        <v>21.232419302577103</v>
      </c>
      <c r="D23" s="50">
        <f t="shared" si="1"/>
        <v>21.721612868384735</v>
      </c>
      <c r="E23" s="51">
        <f t="shared" si="4"/>
        <v>22.7</v>
      </c>
      <c r="F23" s="50">
        <f t="shared" si="2"/>
        <v>23.678387131615263</v>
      </c>
      <c r="G23" s="49">
        <f t="shared" si="3"/>
        <v>24.167580697422895</v>
      </c>
      <c r="I23" s="54">
        <v>20</v>
      </c>
      <c r="J23" s="53">
        <v>22.7</v>
      </c>
      <c r="K23" s="54">
        <v>51</v>
      </c>
      <c r="L23" s="37"/>
    </row>
    <row r="24" spans="2:12">
      <c r="B24" s="39">
        <v>21</v>
      </c>
      <c r="C24" s="49">
        <f t="shared" si="0"/>
        <v>21.232419302577103</v>
      </c>
      <c r="D24" s="50">
        <f t="shared" si="1"/>
        <v>21.721612868384735</v>
      </c>
      <c r="E24" s="51">
        <f t="shared" si="4"/>
        <v>22.7</v>
      </c>
      <c r="F24" s="50">
        <f t="shared" si="2"/>
        <v>23.678387131615263</v>
      </c>
      <c r="G24" s="49">
        <f t="shared" si="3"/>
        <v>24.167580697422895</v>
      </c>
      <c r="I24" s="54">
        <v>21</v>
      </c>
      <c r="J24" s="53">
        <v>23.2</v>
      </c>
      <c r="K24" s="54">
        <v>52</v>
      </c>
      <c r="L24" s="37"/>
    </row>
    <row r="25" spans="2:12">
      <c r="B25" s="39">
        <v>22</v>
      </c>
      <c r="C25" s="49">
        <f t="shared" si="0"/>
        <v>21.232419302577103</v>
      </c>
      <c r="D25" s="50">
        <f t="shared" si="1"/>
        <v>21.721612868384735</v>
      </c>
      <c r="E25" s="51">
        <f t="shared" si="4"/>
        <v>22.7</v>
      </c>
      <c r="F25" s="50">
        <f t="shared" si="2"/>
        <v>23.678387131615263</v>
      </c>
      <c r="G25" s="49">
        <f t="shared" si="3"/>
        <v>24.167580697422895</v>
      </c>
      <c r="I25" s="54">
        <v>22</v>
      </c>
      <c r="J25" s="53">
        <v>22.7</v>
      </c>
      <c r="K25" s="54">
        <v>53</v>
      </c>
      <c r="L25" s="37"/>
    </row>
    <row r="26" spans="2:12">
      <c r="B26" s="39">
        <v>23</v>
      </c>
      <c r="C26" s="49">
        <f t="shared" si="0"/>
        <v>21.232419302577103</v>
      </c>
      <c r="D26" s="50">
        <f t="shared" si="1"/>
        <v>21.721612868384735</v>
      </c>
      <c r="E26" s="51">
        <f t="shared" si="4"/>
        <v>22.7</v>
      </c>
      <c r="F26" s="50">
        <f t="shared" si="2"/>
        <v>23.678387131615263</v>
      </c>
      <c r="G26" s="49">
        <f t="shared" si="3"/>
        <v>24.167580697422895</v>
      </c>
      <c r="I26" s="54">
        <v>23</v>
      </c>
      <c r="J26" s="53">
        <v>22.5</v>
      </c>
      <c r="K26" s="54">
        <v>54</v>
      </c>
      <c r="L26" s="37"/>
    </row>
    <row r="27" spans="2:12">
      <c r="B27" s="39">
        <v>24</v>
      </c>
      <c r="C27" s="49">
        <f t="shared" si="0"/>
        <v>21.232419302577103</v>
      </c>
      <c r="D27" s="50">
        <f t="shared" si="1"/>
        <v>21.721612868384735</v>
      </c>
      <c r="E27" s="51">
        <f t="shared" si="4"/>
        <v>22.7</v>
      </c>
      <c r="F27" s="50">
        <f t="shared" si="2"/>
        <v>23.678387131615263</v>
      </c>
      <c r="G27" s="49">
        <f t="shared" si="3"/>
        <v>24.167580697422895</v>
      </c>
      <c r="I27" s="54">
        <v>24</v>
      </c>
      <c r="J27" s="53">
        <v>23.1</v>
      </c>
      <c r="K27" s="54">
        <v>55</v>
      </c>
      <c r="L27" s="37"/>
    </row>
    <row r="28" spans="2:12">
      <c r="B28" s="39">
        <v>25</v>
      </c>
      <c r="C28" s="49">
        <f t="shared" si="0"/>
        <v>21.232419302577103</v>
      </c>
      <c r="D28" s="50">
        <f t="shared" si="1"/>
        <v>21.721612868384735</v>
      </c>
      <c r="E28" s="51">
        <f t="shared" si="4"/>
        <v>22.7</v>
      </c>
      <c r="F28" s="50">
        <f t="shared" si="2"/>
        <v>23.678387131615263</v>
      </c>
      <c r="G28" s="49">
        <f t="shared" si="3"/>
        <v>24.167580697422895</v>
      </c>
      <c r="I28" s="54">
        <v>25</v>
      </c>
      <c r="J28" s="53">
        <v>23.3</v>
      </c>
      <c r="K28" s="54">
        <v>56</v>
      </c>
      <c r="L28" s="37"/>
    </row>
    <row r="29" spans="2:12">
      <c r="B29" s="39">
        <v>26</v>
      </c>
      <c r="C29" s="49">
        <f t="shared" si="0"/>
        <v>21.232419302577103</v>
      </c>
      <c r="D29" s="50">
        <f t="shared" si="1"/>
        <v>21.721612868384735</v>
      </c>
      <c r="E29" s="51">
        <f t="shared" si="4"/>
        <v>22.7</v>
      </c>
      <c r="F29" s="50">
        <f t="shared" si="2"/>
        <v>23.678387131615263</v>
      </c>
      <c r="G29" s="49">
        <f t="shared" si="3"/>
        <v>24.167580697422895</v>
      </c>
      <c r="I29" s="54">
        <v>26</v>
      </c>
      <c r="J29" s="53">
        <v>22.8</v>
      </c>
      <c r="K29" s="54">
        <v>57</v>
      </c>
      <c r="L29" s="37"/>
    </row>
    <row r="30" spans="2:12">
      <c r="B30" s="39">
        <v>27</v>
      </c>
      <c r="C30" s="49">
        <f t="shared" si="0"/>
        <v>21.232419302577103</v>
      </c>
      <c r="D30" s="50">
        <f t="shared" si="1"/>
        <v>21.721612868384735</v>
      </c>
      <c r="E30" s="51">
        <f t="shared" si="4"/>
        <v>22.7</v>
      </c>
      <c r="F30" s="50">
        <f t="shared" si="2"/>
        <v>23.678387131615263</v>
      </c>
      <c r="G30" s="49">
        <f t="shared" si="3"/>
        <v>24.167580697422895</v>
      </c>
      <c r="I30" s="54">
        <v>27</v>
      </c>
      <c r="J30" s="53">
        <v>23.5</v>
      </c>
      <c r="K30" s="54">
        <v>58</v>
      </c>
      <c r="L30" s="37"/>
    </row>
    <row r="31" spans="2:12">
      <c r="B31" s="39">
        <v>28</v>
      </c>
      <c r="C31" s="49">
        <f t="shared" si="0"/>
        <v>21.232419302577103</v>
      </c>
      <c r="D31" s="50">
        <f t="shared" si="1"/>
        <v>21.721612868384735</v>
      </c>
      <c r="E31" s="51">
        <f t="shared" si="4"/>
        <v>22.7</v>
      </c>
      <c r="F31" s="50">
        <f t="shared" si="2"/>
        <v>23.678387131615263</v>
      </c>
      <c r="G31" s="49">
        <f t="shared" si="3"/>
        <v>24.167580697422895</v>
      </c>
      <c r="I31" s="54">
        <v>28</v>
      </c>
      <c r="J31" s="53">
        <v>23.5</v>
      </c>
      <c r="K31" s="54">
        <v>59</v>
      </c>
      <c r="L31" s="37"/>
    </row>
    <row r="32" spans="2:12">
      <c r="B32" s="39">
        <v>29</v>
      </c>
      <c r="C32" s="49">
        <f t="shared" si="0"/>
        <v>21.232419302577103</v>
      </c>
      <c r="D32" s="50">
        <f t="shared" si="1"/>
        <v>21.721612868384735</v>
      </c>
      <c r="E32" s="51">
        <f t="shared" si="4"/>
        <v>22.7</v>
      </c>
      <c r="F32" s="50">
        <f t="shared" si="2"/>
        <v>23.678387131615263</v>
      </c>
      <c r="G32" s="49">
        <f t="shared" si="3"/>
        <v>24.167580697422895</v>
      </c>
      <c r="I32" s="54">
        <v>29</v>
      </c>
      <c r="J32" s="53">
        <v>22.2</v>
      </c>
      <c r="K32" s="54">
        <v>60</v>
      </c>
      <c r="L32" s="37"/>
    </row>
    <row r="33" spans="2:12">
      <c r="B33" s="39">
        <v>30</v>
      </c>
      <c r="C33" s="49">
        <f t="shared" si="0"/>
        <v>21.232419302577103</v>
      </c>
      <c r="D33" s="50">
        <f t="shared" si="1"/>
        <v>21.721612868384735</v>
      </c>
      <c r="E33" s="51">
        <f>M$3</f>
        <v>22.7</v>
      </c>
      <c r="F33" s="50">
        <f t="shared" si="2"/>
        <v>23.678387131615263</v>
      </c>
      <c r="G33" s="49">
        <f t="shared" si="3"/>
        <v>24.167580697422895</v>
      </c>
      <c r="I33" s="54">
        <v>30</v>
      </c>
      <c r="J33" s="53">
        <v>22.6</v>
      </c>
      <c r="K33" s="54">
        <v>61</v>
      </c>
      <c r="L33" s="37"/>
    </row>
    <row r="34" spans="2:12">
      <c r="J34" s="36"/>
      <c r="L34" s="37"/>
    </row>
    <row r="35" spans="2:12">
      <c r="J35" s="36"/>
      <c r="L35" s="37"/>
    </row>
    <row r="36" spans="2:12">
      <c r="J36" s="36"/>
      <c r="L36" s="37"/>
    </row>
    <row r="37" spans="2:12">
      <c r="J37" s="36"/>
      <c r="L37" s="37"/>
    </row>
    <row r="38" spans="2:12">
      <c r="J38" s="36"/>
      <c r="L38" s="37"/>
    </row>
    <row r="39" spans="2:12">
      <c r="J39" s="36"/>
      <c r="L39" s="37"/>
    </row>
    <row r="40" spans="2:12">
      <c r="J40" s="36"/>
      <c r="L40" s="37"/>
    </row>
    <row r="41" spans="2:12">
      <c r="J41" s="36"/>
      <c r="L41" s="37"/>
    </row>
    <row r="42" spans="2:12">
      <c r="J42" s="36"/>
      <c r="L42" s="37"/>
    </row>
    <row r="43" spans="2:12">
      <c r="J43" s="36"/>
      <c r="L43" s="37"/>
    </row>
    <row r="44" spans="2:12">
      <c r="J44" s="36"/>
      <c r="L44" s="37"/>
    </row>
    <row r="45" spans="2:12">
      <c r="J45" s="36"/>
      <c r="L45" s="37"/>
    </row>
    <row r="46" spans="2:12">
      <c r="J46" s="36"/>
      <c r="L46" s="37"/>
    </row>
    <row r="47" spans="2:12">
      <c r="J47" s="36"/>
      <c r="L47" s="37"/>
    </row>
    <row r="48" spans="2:12">
      <c r="J48" s="36"/>
      <c r="L48" s="37"/>
    </row>
    <row r="49" spans="10:12">
      <c r="J49" s="36"/>
      <c r="L49" s="37"/>
    </row>
    <row r="50" spans="10:12">
      <c r="J50" s="36"/>
      <c r="L50" s="37"/>
    </row>
    <row r="51" spans="10:12">
      <c r="J51" s="36"/>
      <c r="L51" s="37"/>
    </row>
    <row r="52" spans="10:12">
      <c r="J52" s="36"/>
      <c r="L52" s="37"/>
    </row>
    <row r="53" spans="10:12">
      <c r="J53" s="36"/>
      <c r="L53" s="37"/>
    </row>
    <row r="54" spans="10:12">
      <c r="J54" s="36"/>
      <c r="L54" s="37"/>
    </row>
    <row r="55" spans="10:12">
      <c r="J55" s="36"/>
      <c r="L55" s="37"/>
    </row>
    <row r="56" spans="10:12">
      <c r="J56" s="36"/>
      <c r="L56" s="37"/>
    </row>
    <row r="57" spans="10:12">
      <c r="J57" s="36"/>
      <c r="L57" s="37"/>
    </row>
    <row r="58" spans="10:12">
      <c r="J58" s="36"/>
      <c r="L58" s="37"/>
    </row>
    <row r="59" spans="10:12">
      <c r="J59" s="36"/>
      <c r="L59" s="37"/>
    </row>
    <row r="60" spans="10:12">
      <c r="J60" s="36"/>
      <c r="L60" s="37"/>
    </row>
    <row r="61" spans="10:12">
      <c r="J61" s="36"/>
      <c r="L61" s="37"/>
    </row>
    <row r="62" spans="10:12">
      <c r="J62" s="36"/>
      <c r="L62" s="37"/>
    </row>
    <row r="63" spans="10:12">
      <c r="J63" s="36"/>
      <c r="L63" s="37"/>
    </row>
    <row r="64" spans="10:12">
      <c r="J64" s="36"/>
      <c r="L64" s="37"/>
    </row>
    <row r="65" spans="10:12">
      <c r="J65" s="36"/>
      <c r="L65" s="37"/>
    </row>
    <row r="66" spans="10:12">
      <c r="J66" s="36"/>
      <c r="L66" s="37"/>
    </row>
    <row r="67" spans="10:12">
      <c r="J67" s="36"/>
      <c r="L67" s="37"/>
    </row>
    <row r="68" spans="10:12">
      <c r="J68" s="36"/>
      <c r="L68" s="37"/>
    </row>
    <row r="69" spans="10:12">
      <c r="J69" s="36"/>
      <c r="L69" s="37"/>
    </row>
    <row r="70" spans="10:12">
      <c r="J70" s="36"/>
      <c r="L70" s="37"/>
    </row>
    <row r="71" spans="10:12">
      <c r="J71" s="36"/>
      <c r="L71" s="37"/>
    </row>
    <row r="72" spans="10:12">
      <c r="J72" s="36"/>
      <c r="L72" s="37"/>
    </row>
    <row r="73" spans="10:12">
      <c r="J73" s="36"/>
      <c r="L73" s="37"/>
    </row>
    <row r="74" spans="10:12">
      <c r="J74" s="36"/>
      <c r="L74" s="37"/>
    </row>
    <row r="75" spans="10:12">
      <c r="J75" s="36"/>
      <c r="L75" s="37"/>
    </row>
    <row r="76" spans="10:12">
      <c r="J76" s="36"/>
      <c r="L76" s="37"/>
    </row>
    <row r="77" spans="10:12">
      <c r="J77" s="36"/>
      <c r="L77" s="37"/>
    </row>
    <row r="78" spans="10:12">
      <c r="J78" s="36"/>
      <c r="L78" s="37"/>
    </row>
    <row r="79" spans="10:12">
      <c r="J79" s="36"/>
      <c r="L79" s="37"/>
    </row>
    <row r="80" spans="10:12">
      <c r="J80" s="36"/>
      <c r="L80" s="37"/>
    </row>
    <row r="81" spans="10:12">
      <c r="J81" s="36"/>
      <c r="L81" s="37"/>
    </row>
    <row r="82" spans="10:12">
      <c r="J82" s="36"/>
      <c r="L82" s="37"/>
    </row>
    <row r="83" spans="10:12">
      <c r="J83" s="36"/>
      <c r="L83" s="37"/>
    </row>
    <row r="84" spans="10:12">
      <c r="J84" s="36"/>
      <c r="L84" s="37"/>
    </row>
    <row r="85" spans="10:12">
      <c r="J85" s="36"/>
      <c r="L85" s="37"/>
    </row>
    <row r="86" spans="10:12">
      <c r="J86" s="36"/>
      <c r="L86" s="37"/>
    </row>
    <row r="87" spans="10:12">
      <c r="J87" s="36"/>
      <c r="L87" s="37"/>
    </row>
    <row r="88" spans="10:12">
      <c r="J88" s="36"/>
      <c r="L88" s="37"/>
    </row>
    <row r="89" spans="10:12">
      <c r="J89" s="36"/>
      <c r="L89" s="37"/>
    </row>
    <row r="90" spans="10:12">
      <c r="J90" s="36"/>
    </row>
    <row r="91" spans="10:12">
      <c r="J91" s="36"/>
    </row>
    <row r="92" spans="10:12">
      <c r="J92" s="36"/>
    </row>
    <row r="93" spans="10:12">
      <c r="J93" s="36"/>
    </row>
    <row r="94" spans="10:12">
      <c r="J94" s="36"/>
    </row>
    <row r="95" spans="10:12">
      <c r="J95" s="36"/>
    </row>
    <row r="96" spans="10:12">
      <c r="J96" s="36"/>
    </row>
    <row r="97" spans="10:10">
      <c r="J97" s="36"/>
    </row>
    <row r="98" spans="10:10">
      <c r="J98" s="36"/>
    </row>
    <row r="99" spans="10:10">
      <c r="J99" s="36"/>
    </row>
    <row r="100" spans="10:10">
      <c r="J100" s="36"/>
    </row>
    <row r="101" spans="10:10">
      <c r="J101" s="36"/>
    </row>
    <row r="102" spans="10:10">
      <c r="J102" s="36"/>
    </row>
    <row r="103" spans="10:10">
      <c r="J103" s="36"/>
    </row>
    <row r="104" spans="10:10">
      <c r="J104" s="36"/>
    </row>
    <row r="105" spans="10:10">
      <c r="J105" s="36"/>
    </row>
    <row r="106" spans="10:10">
      <c r="J106" s="36"/>
    </row>
    <row r="107" spans="10:10">
      <c r="J107" s="36"/>
    </row>
    <row r="108" spans="10:10">
      <c r="J108" s="36"/>
    </row>
    <row r="109" spans="10:10">
      <c r="J109" s="36"/>
    </row>
    <row r="110" spans="10:10">
      <c r="J110" s="36"/>
    </row>
    <row r="111" spans="10:10">
      <c r="J111" s="36"/>
    </row>
    <row r="112" spans="10:10">
      <c r="J112" s="36"/>
    </row>
    <row r="113" spans="10:10">
      <c r="J113" s="36"/>
    </row>
    <row r="114" spans="10:10">
      <c r="J114" s="36"/>
    </row>
    <row r="115" spans="10:10">
      <c r="J115" s="36"/>
    </row>
    <row r="116" spans="10:10">
      <c r="J116" s="36"/>
    </row>
    <row r="117" spans="10:10">
      <c r="J117" s="36"/>
    </row>
    <row r="118" spans="10:10">
      <c r="J118" s="36"/>
    </row>
    <row r="119" spans="10:10">
      <c r="J119" s="36"/>
    </row>
    <row r="120" spans="10:10">
      <c r="J120" s="36"/>
    </row>
    <row r="121" spans="10:10">
      <c r="J121" s="36"/>
    </row>
    <row r="122" spans="10:10">
      <c r="J122" s="36"/>
    </row>
    <row r="123" spans="10:10">
      <c r="J123" s="36"/>
    </row>
    <row r="124" spans="10:10">
      <c r="J124" s="36"/>
    </row>
    <row r="125" spans="10:10">
      <c r="J125" s="36"/>
    </row>
    <row r="126" spans="10:10">
      <c r="J126" s="36"/>
    </row>
    <row r="127" spans="10:10">
      <c r="J127" s="36"/>
    </row>
    <row r="128" spans="10:10">
      <c r="J128" s="36"/>
    </row>
    <row r="129" spans="10:10">
      <c r="J129" s="36"/>
    </row>
    <row r="130" spans="10:10">
      <c r="J130" s="36"/>
    </row>
    <row r="131" spans="10:10">
      <c r="J131" s="36"/>
    </row>
    <row r="132" spans="10:10">
      <c r="J132" s="36"/>
    </row>
    <row r="133" spans="10:10">
      <c r="J133" s="36"/>
    </row>
    <row r="134" spans="10:10">
      <c r="J134" s="36"/>
    </row>
    <row r="135" spans="10:10">
      <c r="J135" s="36"/>
    </row>
    <row r="136" spans="10:10">
      <c r="J136" s="36"/>
    </row>
    <row r="137" spans="10:10">
      <c r="J137" s="36"/>
    </row>
    <row r="138" spans="10:10">
      <c r="J138" s="36"/>
    </row>
    <row r="139" spans="10:10">
      <c r="J139" s="36"/>
    </row>
    <row r="140" spans="10:10">
      <c r="J140" s="36"/>
    </row>
    <row r="141" spans="10:10">
      <c r="J141" s="36"/>
    </row>
    <row r="142" spans="10:10">
      <c r="J142" s="36"/>
    </row>
    <row r="143" spans="10:10">
      <c r="J143" s="36"/>
    </row>
    <row r="144" spans="10:10">
      <c r="J144" s="36"/>
    </row>
    <row r="145" spans="10:10">
      <c r="J145" s="36"/>
    </row>
    <row r="146" spans="10:10">
      <c r="J146" s="36"/>
    </row>
    <row r="147" spans="10:10">
      <c r="J147" s="36"/>
    </row>
    <row r="148" spans="10:10">
      <c r="J148" s="36"/>
    </row>
    <row r="149" spans="10:10">
      <c r="J149" s="36"/>
    </row>
    <row r="150" spans="10:10">
      <c r="J150" s="36"/>
    </row>
    <row r="151" spans="10:10">
      <c r="J151" s="36"/>
    </row>
    <row r="152" spans="10:10">
      <c r="J152" s="36"/>
    </row>
    <row r="153" spans="10:10">
      <c r="J153" s="36"/>
    </row>
    <row r="154" spans="10:10">
      <c r="J154" s="36"/>
    </row>
    <row r="155" spans="10:10">
      <c r="J155" s="36"/>
    </row>
    <row r="156" spans="10:10">
      <c r="J156" s="36"/>
    </row>
    <row r="157" spans="10:10">
      <c r="J157" s="36"/>
    </row>
    <row r="158" spans="10:10">
      <c r="J158" s="36"/>
    </row>
    <row r="159" spans="10:10">
      <c r="J159" s="36"/>
    </row>
    <row r="160" spans="10:10">
      <c r="J160" s="36"/>
    </row>
    <row r="161" spans="10:10">
      <c r="J161" s="36"/>
    </row>
    <row r="162" spans="10:10">
      <c r="J162" s="36"/>
    </row>
    <row r="163" spans="10:10">
      <c r="J163" s="36"/>
    </row>
    <row r="164" spans="10:10">
      <c r="J164" s="36"/>
    </row>
    <row r="165" spans="10:10">
      <c r="J165" s="36"/>
    </row>
    <row r="166" spans="10:10">
      <c r="J166" s="36"/>
    </row>
    <row r="167" spans="10:10">
      <c r="J167" s="36"/>
    </row>
    <row r="168" spans="10:10">
      <c r="J168" s="36"/>
    </row>
    <row r="169" spans="10:10">
      <c r="J169" s="36"/>
    </row>
    <row r="170" spans="10:10">
      <c r="J170" s="36"/>
    </row>
    <row r="171" spans="10:10">
      <c r="J171" s="36"/>
    </row>
    <row r="172" spans="10:10">
      <c r="J172" s="36"/>
    </row>
    <row r="173" spans="10:10">
      <c r="J173" s="36"/>
    </row>
    <row r="174" spans="10:10">
      <c r="J174" s="36"/>
    </row>
    <row r="175" spans="10:10">
      <c r="J175" s="36"/>
    </row>
    <row r="176" spans="10:10">
      <c r="J176" s="36"/>
    </row>
    <row r="177" spans="10:10">
      <c r="J177" s="36"/>
    </row>
    <row r="178" spans="10:10">
      <c r="J178" s="36"/>
    </row>
    <row r="179" spans="10:10">
      <c r="J179" s="36"/>
    </row>
    <row r="180" spans="10:10">
      <c r="J180" s="36"/>
    </row>
    <row r="181" spans="10:10">
      <c r="J181" s="36"/>
    </row>
    <row r="182" spans="10:10">
      <c r="J182" s="36"/>
    </row>
    <row r="183" spans="10:10">
      <c r="J183" s="36"/>
    </row>
    <row r="184" spans="10:10">
      <c r="J184" s="36"/>
    </row>
    <row r="185" spans="10:10">
      <c r="J185" s="36"/>
    </row>
    <row r="186" spans="10:10">
      <c r="J186" s="36"/>
    </row>
    <row r="187" spans="10:10">
      <c r="J187" s="36"/>
    </row>
    <row r="188" spans="10:10">
      <c r="J188" s="36"/>
    </row>
    <row r="189" spans="10:10">
      <c r="J189" s="36"/>
    </row>
    <row r="190" spans="10:10">
      <c r="J190" s="36"/>
    </row>
    <row r="191" spans="10:10">
      <c r="J191" s="36"/>
    </row>
    <row r="192" spans="10:10">
      <c r="J192" s="36"/>
    </row>
    <row r="193" spans="10:10">
      <c r="J193" s="36"/>
    </row>
    <row r="194" spans="10:10">
      <c r="J194" s="36"/>
    </row>
    <row r="195" spans="10:10">
      <c r="J195" s="36"/>
    </row>
    <row r="196" spans="10:10">
      <c r="J196" s="36"/>
    </row>
    <row r="197" spans="10:10">
      <c r="J197" s="36"/>
    </row>
    <row r="198" spans="10:10">
      <c r="J198" s="36"/>
    </row>
    <row r="199" spans="10:10">
      <c r="J199" s="36"/>
    </row>
    <row r="200" spans="10:10">
      <c r="J200" s="36"/>
    </row>
    <row r="201" spans="10:10">
      <c r="J201" s="36"/>
    </row>
    <row r="202" spans="10:10">
      <c r="J202" s="36"/>
    </row>
    <row r="203" spans="10:10">
      <c r="J203" s="36"/>
    </row>
    <row r="204" spans="10:10">
      <c r="J204" s="36"/>
    </row>
    <row r="205" spans="10:10">
      <c r="J205" s="36"/>
    </row>
    <row r="206" spans="10:10">
      <c r="J206" s="36"/>
    </row>
    <row r="207" spans="10:10">
      <c r="J207" s="36"/>
    </row>
    <row r="208" spans="10:10">
      <c r="J208" s="36"/>
    </row>
    <row r="209" spans="10:10">
      <c r="J209" s="36"/>
    </row>
    <row r="210" spans="10:10">
      <c r="J210" s="36"/>
    </row>
    <row r="211" spans="10:10">
      <c r="J211" s="36"/>
    </row>
    <row r="212" spans="10:10">
      <c r="J212" s="36"/>
    </row>
    <row r="213" spans="10:10">
      <c r="J213" s="36"/>
    </row>
    <row r="214" spans="10:10">
      <c r="J214" s="36"/>
    </row>
    <row r="215" spans="10:10">
      <c r="J215" s="36"/>
    </row>
    <row r="216" spans="10:10">
      <c r="J216" s="36"/>
    </row>
    <row r="217" spans="10:10">
      <c r="J217" s="36"/>
    </row>
    <row r="218" spans="10:10">
      <c r="J218" s="36"/>
    </row>
    <row r="219" spans="10:10">
      <c r="J219" s="36"/>
    </row>
    <row r="220" spans="10:10">
      <c r="J220" s="36"/>
    </row>
    <row r="221" spans="10:10">
      <c r="J221" s="36"/>
    </row>
    <row r="222" spans="10:10">
      <c r="J222" s="36"/>
    </row>
    <row r="223" spans="10:10">
      <c r="J223" s="36"/>
    </row>
    <row r="224" spans="10:10">
      <c r="J224" s="36"/>
    </row>
    <row r="225" spans="10:10">
      <c r="J225" s="36"/>
    </row>
    <row r="226" spans="10:10">
      <c r="J226" s="36"/>
    </row>
    <row r="227" spans="10:10">
      <c r="J227" s="36"/>
    </row>
    <row r="228" spans="10:10">
      <c r="J228" s="36"/>
    </row>
    <row r="229" spans="10:10">
      <c r="J229" s="36"/>
    </row>
    <row r="230" spans="10:10">
      <c r="J230" s="36"/>
    </row>
    <row r="231" spans="10:10">
      <c r="J231" s="36"/>
    </row>
    <row r="232" spans="10:10">
      <c r="J232" s="36"/>
    </row>
    <row r="233" spans="10:10">
      <c r="J233" s="36"/>
    </row>
    <row r="234" spans="10:10">
      <c r="J234" s="36"/>
    </row>
    <row r="235" spans="10:10">
      <c r="J235" s="36"/>
    </row>
    <row r="236" spans="10:10">
      <c r="J236" s="36"/>
    </row>
    <row r="237" spans="10:10">
      <c r="J237" s="36"/>
    </row>
    <row r="238" spans="10:10">
      <c r="J238" s="36"/>
    </row>
    <row r="239" spans="10:10">
      <c r="J239" s="36"/>
    </row>
    <row r="240" spans="10:10">
      <c r="J240" s="36"/>
    </row>
    <row r="241" spans="10:10">
      <c r="J241" s="36"/>
    </row>
    <row r="242" spans="10:10">
      <c r="J242" s="36"/>
    </row>
    <row r="243" spans="10:10">
      <c r="J243" s="36"/>
    </row>
    <row r="244" spans="10:10">
      <c r="J244" s="36"/>
    </row>
    <row r="245" spans="10:10">
      <c r="J245" s="36"/>
    </row>
    <row r="246" spans="10:10">
      <c r="J246" s="36"/>
    </row>
    <row r="247" spans="10:10">
      <c r="J247" s="36"/>
    </row>
    <row r="248" spans="10:10">
      <c r="J248" s="36"/>
    </row>
    <row r="249" spans="10:10">
      <c r="J249" s="36"/>
    </row>
    <row r="250" spans="10:10">
      <c r="J250" s="36"/>
    </row>
    <row r="251" spans="10:10">
      <c r="J251" s="36"/>
    </row>
    <row r="252" spans="10:10">
      <c r="J252" s="36"/>
    </row>
    <row r="253" spans="10:10">
      <c r="J253" s="36"/>
    </row>
    <row r="254" spans="10:10">
      <c r="J254" s="36"/>
    </row>
    <row r="255" spans="10:10">
      <c r="J255" s="36"/>
    </row>
    <row r="256" spans="10:10">
      <c r="J256" s="36"/>
    </row>
    <row r="257" spans="10:10">
      <c r="J257" s="36"/>
    </row>
    <row r="258" spans="10:10">
      <c r="J258" s="36"/>
    </row>
    <row r="259" spans="10:10">
      <c r="J259" s="36"/>
    </row>
    <row r="260" spans="10:10">
      <c r="J260" s="36"/>
    </row>
    <row r="261" spans="10:10">
      <c r="J261" s="36"/>
    </row>
    <row r="262" spans="10:10">
      <c r="J262" s="36"/>
    </row>
    <row r="263" spans="10:10">
      <c r="J263" s="36"/>
    </row>
    <row r="264" spans="10:10">
      <c r="J264" s="36"/>
    </row>
    <row r="265" spans="10:10">
      <c r="J265" s="36"/>
    </row>
    <row r="266" spans="10:10">
      <c r="J266" s="36"/>
    </row>
    <row r="267" spans="10:10">
      <c r="J267" s="36"/>
    </row>
    <row r="268" spans="10:10">
      <c r="J268" s="36"/>
    </row>
    <row r="269" spans="10:10">
      <c r="J269" s="36"/>
    </row>
    <row r="270" spans="10:10">
      <c r="J270" s="36"/>
    </row>
    <row r="271" spans="10:10">
      <c r="J271" s="36"/>
    </row>
    <row r="272" spans="10:10">
      <c r="J272" s="36"/>
    </row>
    <row r="273" spans="10:10">
      <c r="J273" s="36"/>
    </row>
    <row r="274" spans="10:10">
      <c r="J274" s="36"/>
    </row>
    <row r="275" spans="10:10">
      <c r="J275" s="36"/>
    </row>
    <row r="276" spans="10:10">
      <c r="J276" s="36"/>
    </row>
    <row r="277" spans="10:10">
      <c r="J277" s="36"/>
    </row>
    <row r="278" spans="10:10">
      <c r="J278" s="36"/>
    </row>
    <row r="279" spans="10:10">
      <c r="J279" s="36"/>
    </row>
    <row r="280" spans="10:10">
      <c r="J280" s="36"/>
    </row>
    <row r="281" spans="10:10">
      <c r="J281" s="36"/>
    </row>
    <row r="282" spans="10:10">
      <c r="J282" s="36"/>
    </row>
    <row r="283" spans="10:10">
      <c r="J283" s="36"/>
    </row>
    <row r="284" spans="10:10">
      <c r="J284" s="36"/>
    </row>
    <row r="285" spans="10:10">
      <c r="J285" s="36"/>
    </row>
    <row r="286" spans="10:10">
      <c r="J286" s="36"/>
    </row>
    <row r="287" spans="10:10">
      <c r="J287" s="36"/>
    </row>
    <row r="288" spans="10:10">
      <c r="J288" s="36"/>
    </row>
    <row r="289" spans="10:10">
      <c r="J289" s="36"/>
    </row>
    <row r="290" spans="10:10">
      <c r="J290" s="36"/>
    </row>
    <row r="291" spans="10:10">
      <c r="J291" s="36"/>
    </row>
    <row r="292" spans="10:10">
      <c r="J292" s="36"/>
    </row>
    <row r="293" spans="10:10">
      <c r="J293" s="36"/>
    </row>
    <row r="294" spans="10:10">
      <c r="J294" s="36"/>
    </row>
    <row r="295" spans="10:10">
      <c r="J295" s="36"/>
    </row>
    <row r="296" spans="10:10">
      <c r="J296" s="36"/>
    </row>
    <row r="297" spans="10:10">
      <c r="J297" s="36"/>
    </row>
    <row r="298" spans="10:10">
      <c r="J298" s="36"/>
    </row>
    <row r="299" spans="10:10">
      <c r="J299" s="36"/>
    </row>
    <row r="300" spans="10:10">
      <c r="J300" s="36"/>
    </row>
    <row r="301" spans="10:10">
      <c r="J301" s="36"/>
    </row>
    <row r="302" spans="10:10">
      <c r="J302" s="36"/>
    </row>
    <row r="303" spans="10:10">
      <c r="J303" s="36"/>
    </row>
    <row r="304" spans="10:10">
      <c r="J304" s="36"/>
    </row>
    <row r="305" spans="10:10">
      <c r="J305" s="36"/>
    </row>
    <row r="306" spans="10:10">
      <c r="J306" s="36"/>
    </row>
    <row r="307" spans="10:10">
      <c r="J307" s="36"/>
    </row>
    <row r="308" spans="10:10">
      <c r="J308" s="36"/>
    </row>
    <row r="309" spans="10:10">
      <c r="J309" s="36"/>
    </row>
    <row r="310" spans="10:10">
      <c r="J310" s="36"/>
    </row>
    <row r="311" spans="10:10">
      <c r="J311" s="36"/>
    </row>
    <row r="312" spans="10:10">
      <c r="J312" s="36"/>
    </row>
    <row r="313" spans="10:10">
      <c r="J313" s="36"/>
    </row>
    <row r="314" spans="10:10">
      <c r="J314" s="36"/>
    </row>
    <row r="315" spans="10:10">
      <c r="J315" s="36"/>
    </row>
    <row r="316" spans="10:10">
      <c r="J316" s="36"/>
    </row>
    <row r="317" spans="10:10">
      <c r="J317" s="36"/>
    </row>
    <row r="318" spans="10:10">
      <c r="J318" s="36"/>
    </row>
    <row r="319" spans="10:10">
      <c r="J319" s="36"/>
    </row>
    <row r="320" spans="10:10">
      <c r="J320" s="36"/>
    </row>
    <row r="321" spans="10:10">
      <c r="J321" s="36"/>
    </row>
    <row r="322" spans="10:10">
      <c r="J322" s="36"/>
    </row>
    <row r="323" spans="10:10">
      <c r="J323" s="36"/>
    </row>
    <row r="324" spans="10:10">
      <c r="J324" s="36"/>
    </row>
    <row r="325" spans="10:10">
      <c r="J325" s="36"/>
    </row>
    <row r="326" spans="10:10">
      <c r="J326" s="36"/>
    </row>
    <row r="327" spans="10:10">
      <c r="J327" s="36"/>
    </row>
    <row r="328" spans="10:10">
      <c r="J328" s="36"/>
    </row>
    <row r="329" spans="10:10">
      <c r="J329" s="36"/>
    </row>
    <row r="330" spans="10:10">
      <c r="J330" s="36"/>
    </row>
    <row r="331" spans="10:10">
      <c r="J331" s="36"/>
    </row>
    <row r="332" spans="10:10">
      <c r="J332" s="36"/>
    </row>
    <row r="333" spans="10:10">
      <c r="J333" s="36"/>
    </row>
    <row r="334" spans="10:10">
      <c r="J334" s="36"/>
    </row>
    <row r="335" spans="10:10">
      <c r="J335" s="36"/>
    </row>
    <row r="336" spans="10:10">
      <c r="J336" s="36"/>
    </row>
    <row r="337" spans="10:10">
      <c r="J337" s="36"/>
    </row>
    <row r="338" spans="10:10">
      <c r="J338" s="36"/>
    </row>
    <row r="339" spans="10:10">
      <c r="J339" s="36"/>
    </row>
    <row r="340" spans="10:10">
      <c r="J340" s="36"/>
    </row>
    <row r="341" spans="10:10">
      <c r="J341" s="36"/>
    </row>
    <row r="342" spans="10:10">
      <c r="J342" s="36"/>
    </row>
    <row r="343" spans="10:10">
      <c r="J343" s="36"/>
    </row>
    <row r="344" spans="10:10">
      <c r="J344" s="36"/>
    </row>
    <row r="345" spans="10:10">
      <c r="J345" s="36"/>
    </row>
    <row r="346" spans="10:10">
      <c r="J346" s="36"/>
    </row>
    <row r="347" spans="10:10">
      <c r="J347" s="36"/>
    </row>
    <row r="348" spans="10:10">
      <c r="J348" s="36"/>
    </row>
    <row r="349" spans="10:10">
      <c r="J349" s="36"/>
    </row>
    <row r="350" spans="10:10">
      <c r="J350" s="36"/>
    </row>
    <row r="351" spans="10:10">
      <c r="J351" s="36"/>
    </row>
    <row r="352" spans="10:10">
      <c r="J352" s="36"/>
    </row>
    <row r="353" spans="10:10">
      <c r="J353" s="36"/>
    </row>
    <row r="354" spans="10:10">
      <c r="J354" s="36"/>
    </row>
    <row r="355" spans="10:10">
      <c r="J355" s="36"/>
    </row>
    <row r="356" spans="10:10">
      <c r="J356" s="36"/>
    </row>
    <row r="357" spans="10:10">
      <c r="J357" s="36"/>
    </row>
    <row r="358" spans="10:10">
      <c r="J358" s="36"/>
    </row>
    <row r="359" spans="10:10">
      <c r="J359" s="36"/>
    </row>
    <row r="360" spans="10:10">
      <c r="J360" s="36"/>
    </row>
    <row r="361" spans="10:10">
      <c r="J361" s="36"/>
    </row>
    <row r="362" spans="10:10">
      <c r="J362" s="36"/>
    </row>
    <row r="363" spans="10:10">
      <c r="J363" s="36"/>
    </row>
    <row r="364" spans="10:10">
      <c r="J364" s="36"/>
    </row>
    <row r="365" spans="10:10">
      <c r="J365" s="36"/>
    </row>
    <row r="366" spans="10:10">
      <c r="J366" s="36"/>
    </row>
    <row r="367" spans="10:10">
      <c r="J367" s="36"/>
    </row>
    <row r="368" spans="10:10">
      <c r="J368" s="36"/>
    </row>
    <row r="369" spans="10:10">
      <c r="J369" s="36"/>
    </row>
    <row r="370" spans="10:10">
      <c r="J370" s="36"/>
    </row>
    <row r="371" spans="10:10">
      <c r="J371" s="36"/>
    </row>
    <row r="372" spans="10:10">
      <c r="J372" s="36"/>
    </row>
    <row r="373" spans="10:10">
      <c r="J373" s="36"/>
    </row>
    <row r="374" spans="10:10">
      <c r="J374" s="36"/>
    </row>
    <row r="375" spans="10:10">
      <c r="J375" s="36"/>
    </row>
    <row r="376" spans="10:10">
      <c r="J376" s="36"/>
    </row>
    <row r="377" spans="10:10">
      <c r="J377" s="36"/>
    </row>
    <row r="378" spans="10:10">
      <c r="J378" s="36"/>
    </row>
    <row r="379" spans="10:10">
      <c r="J379" s="36"/>
    </row>
    <row r="380" spans="10:10">
      <c r="J380" s="36"/>
    </row>
    <row r="381" spans="10:10">
      <c r="J381" s="36"/>
    </row>
    <row r="382" spans="10:10">
      <c r="J382" s="36"/>
    </row>
    <row r="383" spans="10:10">
      <c r="J383" s="36"/>
    </row>
    <row r="384" spans="10:10">
      <c r="J384" s="36"/>
    </row>
    <row r="385" spans="10:10">
      <c r="J385" s="36"/>
    </row>
    <row r="386" spans="10:10">
      <c r="J386" s="36"/>
    </row>
    <row r="387" spans="10:10">
      <c r="J387" s="36"/>
    </row>
    <row r="388" spans="10:10">
      <c r="J388" s="36"/>
    </row>
    <row r="389" spans="10:10">
      <c r="J389" s="36"/>
    </row>
    <row r="390" spans="10:10">
      <c r="J390" s="36"/>
    </row>
    <row r="391" spans="10:10">
      <c r="J391" s="36"/>
    </row>
    <row r="392" spans="10:10">
      <c r="J392" s="36"/>
    </row>
    <row r="393" spans="10:10">
      <c r="J393" s="36"/>
    </row>
    <row r="394" spans="10:10">
      <c r="J394" s="36"/>
    </row>
    <row r="395" spans="10:10">
      <c r="J395" s="36"/>
    </row>
    <row r="396" spans="10:10">
      <c r="J396" s="36"/>
    </row>
    <row r="397" spans="10:10">
      <c r="J397" s="36"/>
    </row>
    <row r="398" spans="10:10">
      <c r="J398" s="36"/>
    </row>
    <row r="399" spans="10:10">
      <c r="J399" s="36"/>
    </row>
    <row r="400" spans="10:10">
      <c r="J400" s="36"/>
    </row>
    <row r="401" spans="10:10">
      <c r="J401" s="36"/>
    </row>
    <row r="402" spans="10:10">
      <c r="J402" s="36"/>
    </row>
    <row r="403" spans="10:10">
      <c r="J403" s="36"/>
    </row>
    <row r="404" spans="10:10">
      <c r="J404" s="36"/>
    </row>
    <row r="405" spans="10:10">
      <c r="J405" s="36"/>
    </row>
    <row r="406" spans="10:10">
      <c r="J406" s="36"/>
    </row>
    <row r="407" spans="10:10">
      <c r="J407" s="36"/>
    </row>
    <row r="408" spans="10:10">
      <c r="J408" s="36"/>
    </row>
    <row r="409" spans="10:10">
      <c r="J409" s="36"/>
    </row>
    <row r="410" spans="10:10">
      <c r="J410" s="36"/>
    </row>
    <row r="411" spans="10:10">
      <c r="J411" s="36"/>
    </row>
    <row r="412" spans="10:10">
      <c r="J412" s="36"/>
    </row>
    <row r="413" spans="10:10">
      <c r="J413" s="36"/>
    </row>
    <row r="414" spans="10:10">
      <c r="J414" s="36"/>
    </row>
    <row r="415" spans="10:10">
      <c r="J415" s="36"/>
    </row>
    <row r="416" spans="10:10">
      <c r="J416" s="36"/>
    </row>
    <row r="417" spans="10:10">
      <c r="J417" s="36"/>
    </row>
    <row r="418" spans="10:10">
      <c r="J418" s="36"/>
    </row>
    <row r="419" spans="10:10">
      <c r="J419" s="36"/>
    </row>
    <row r="420" spans="10:10">
      <c r="J420" s="36"/>
    </row>
    <row r="421" spans="10:10">
      <c r="J421" s="36"/>
    </row>
    <row r="422" spans="10:10">
      <c r="J422" s="36"/>
    </row>
    <row r="423" spans="10:10">
      <c r="J423" s="36"/>
    </row>
    <row r="424" spans="10:10">
      <c r="J424" s="36"/>
    </row>
    <row r="425" spans="10:10">
      <c r="J425" s="36"/>
    </row>
    <row r="426" spans="10:10">
      <c r="J426" s="36"/>
    </row>
    <row r="427" spans="10:10">
      <c r="J427" s="36"/>
    </row>
    <row r="428" spans="10:10">
      <c r="J428" s="36"/>
    </row>
    <row r="429" spans="10:10">
      <c r="J429" s="36"/>
    </row>
    <row r="430" spans="10:10">
      <c r="J430" s="36"/>
    </row>
    <row r="431" spans="10:10">
      <c r="J431" s="36"/>
    </row>
    <row r="432" spans="10:10">
      <c r="J432" s="36"/>
    </row>
    <row r="433" spans="10:10">
      <c r="J433" s="36"/>
    </row>
    <row r="434" spans="10:10">
      <c r="J434" s="36"/>
    </row>
    <row r="435" spans="10:10">
      <c r="J435" s="36"/>
    </row>
    <row r="436" spans="10:10">
      <c r="J436" s="36"/>
    </row>
    <row r="437" spans="10:10">
      <c r="J437" s="36"/>
    </row>
    <row r="438" spans="10:10">
      <c r="J438" s="36"/>
    </row>
    <row r="439" spans="10:10">
      <c r="J439" s="36"/>
    </row>
    <row r="440" spans="10:10">
      <c r="J440" s="36"/>
    </row>
    <row r="441" spans="10:10">
      <c r="J441" s="36"/>
    </row>
    <row r="442" spans="10:10">
      <c r="J442" s="36"/>
    </row>
    <row r="443" spans="10:10">
      <c r="J443" s="36"/>
    </row>
    <row r="444" spans="10:10">
      <c r="J444" s="36"/>
    </row>
    <row r="445" spans="10:10">
      <c r="J445" s="36"/>
    </row>
    <row r="446" spans="10:10">
      <c r="J446" s="36"/>
    </row>
    <row r="447" spans="10:10">
      <c r="J447" s="36"/>
    </row>
    <row r="448" spans="10:10">
      <c r="J448" s="36"/>
    </row>
    <row r="449" spans="10:10">
      <c r="J449" s="36"/>
    </row>
    <row r="450" spans="10:10">
      <c r="J450" s="36"/>
    </row>
    <row r="451" spans="10:10">
      <c r="J451" s="36"/>
    </row>
    <row r="452" spans="10:10">
      <c r="J452" s="36"/>
    </row>
    <row r="453" spans="10:10">
      <c r="J453" s="36"/>
    </row>
    <row r="454" spans="10:10">
      <c r="J454" s="36"/>
    </row>
    <row r="455" spans="10:10">
      <c r="J455" s="36"/>
    </row>
    <row r="456" spans="10:10">
      <c r="J456" s="36"/>
    </row>
    <row r="457" spans="10:10">
      <c r="J457" s="36"/>
    </row>
    <row r="458" spans="10:10">
      <c r="J458" s="36"/>
    </row>
    <row r="459" spans="10:10">
      <c r="J459" s="36"/>
    </row>
    <row r="460" spans="10:10">
      <c r="J460" s="36"/>
    </row>
    <row r="461" spans="10:10">
      <c r="J461" s="36"/>
    </row>
    <row r="462" spans="10:10">
      <c r="J462" s="36"/>
    </row>
    <row r="463" spans="10:10">
      <c r="J463" s="36"/>
    </row>
    <row r="464" spans="10:10">
      <c r="J464" s="36"/>
    </row>
    <row r="465" spans="10:10">
      <c r="J465" s="36"/>
    </row>
    <row r="466" spans="10:10">
      <c r="J466" s="36"/>
    </row>
    <row r="467" spans="10:10">
      <c r="J467" s="36"/>
    </row>
    <row r="468" spans="10:10">
      <c r="J468" s="36"/>
    </row>
    <row r="469" spans="10:10">
      <c r="J469" s="36"/>
    </row>
    <row r="470" spans="10:10">
      <c r="J470" s="36"/>
    </row>
    <row r="471" spans="10:10">
      <c r="J471" s="36"/>
    </row>
    <row r="472" spans="10:10">
      <c r="J472" s="36"/>
    </row>
    <row r="473" spans="10:10">
      <c r="J473" s="36"/>
    </row>
    <row r="474" spans="10:10">
      <c r="J474" s="36"/>
    </row>
    <row r="475" spans="10:10">
      <c r="J475" s="36"/>
    </row>
    <row r="476" spans="10:10">
      <c r="J476" s="36"/>
    </row>
    <row r="477" spans="10:10">
      <c r="J477" s="36"/>
    </row>
    <row r="478" spans="10:10">
      <c r="J478" s="36"/>
    </row>
    <row r="479" spans="10:10">
      <c r="J479" s="36"/>
    </row>
    <row r="480" spans="10:10">
      <c r="J480" s="36"/>
    </row>
    <row r="481" spans="10:10">
      <c r="J481" s="36"/>
    </row>
    <row r="482" spans="10:10">
      <c r="J482" s="36"/>
    </row>
    <row r="483" spans="10:10">
      <c r="J483" s="36"/>
    </row>
    <row r="484" spans="10:10">
      <c r="J484" s="36"/>
    </row>
    <row r="485" spans="10:10">
      <c r="J485" s="36"/>
    </row>
    <row r="486" spans="10:10">
      <c r="J486" s="36"/>
    </row>
    <row r="487" spans="10:10">
      <c r="J487" s="36"/>
    </row>
    <row r="488" spans="10:10">
      <c r="J488" s="36"/>
    </row>
    <row r="489" spans="10:10">
      <c r="J489" s="36"/>
    </row>
    <row r="490" spans="10:10">
      <c r="J490" s="36"/>
    </row>
    <row r="491" spans="10:10">
      <c r="J491" s="36"/>
    </row>
    <row r="492" spans="10:10">
      <c r="J492" s="36"/>
    </row>
    <row r="493" spans="10:10">
      <c r="J493" s="36"/>
    </row>
    <row r="494" spans="10:10">
      <c r="J494" s="36"/>
    </row>
    <row r="495" spans="10:10">
      <c r="J495" s="36"/>
    </row>
    <row r="496" spans="10:10">
      <c r="J496" s="36"/>
    </row>
    <row r="497" spans="10:10">
      <c r="J497" s="36"/>
    </row>
    <row r="498" spans="10:10">
      <c r="J498" s="36"/>
    </row>
    <row r="499" spans="10:10">
      <c r="J499" s="36"/>
    </row>
    <row r="500" spans="10:10">
      <c r="J500" s="36"/>
    </row>
    <row r="501" spans="10:10">
      <c r="J501" s="36"/>
    </row>
    <row r="502" spans="10:10">
      <c r="J502" s="36"/>
    </row>
    <row r="503" spans="10:10">
      <c r="J503" s="36"/>
    </row>
    <row r="504" spans="10:10">
      <c r="J504" s="36"/>
    </row>
    <row r="505" spans="10:10">
      <c r="J505" s="36"/>
    </row>
    <row r="506" spans="10:10">
      <c r="J506" s="36"/>
    </row>
    <row r="507" spans="10:10">
      <c r="J507" s="36"/>
    </row>
    <row r="508" spans="10:10">
      <c r="J508" s="36"/>
    </row>
    <row r="509" spans="10:10">
      <c r="J509" s="36"/>
    </row>
    <row r="510" spans="10:10">
      <c r="J510" s="36"/>
    </row>
    <row r="511" spans="10:10">
      <c r="J511" s="36"/>
    </row>
    <row r="512" spans="10:10">
      <c r="J512" s="36"/>
    </row>
    <row r="513" spans="10:10">
      <c r="J513" s="36"/>
    </row>
    <row r="514" spans="10:10">
      <c r="J514" s="36"/>
    </row>
    <row r="515" spans="10:10">
      <c r="J515" s="36"/>
    </row>
    <row r="516" spans="10:10">
      <c r="J516" s="36"/>
    </row>
    <row r="517" spans="10:10">
      <c r="J517" s="36"/>
    </row>
    <row r="518" spans="10:10">
      <c r="J518" s="36"/>
    </row>
    <row r="519" spans="10:10">
      <c r="J519" s="36"/>
    </row>
    <row r="520" spans="10:10">
      <c r="J520" s="36"/>
    </row>
    <row r="521" spans="10:10">
      <c r="J521" s="36"/>
    </row>
    <row r="522" spans="10:10">
      <c r="J522" s="36"/>
    </row>
    <row r="523" spans="10:10">
      <c r="J523" s="36"/>
    </row>
    <row r="524" spans="10:10">
      <c r="J524" s="36"/>
    </row>
    <row r="525" spans="10:10">
      <c r="J525" s="36"/>
    </row>
    <row r="526" spans="10:10">
      <c r="J526" s="36"/>
    </row>
    <row r="527" spans="10:10">
      <c r="J527" s="36"/>
    </row>
    <row r="528" spans="10:10">
      <c r="J528" s="36"/>
    </row>
    <row r="529" spans="10:10">
      <c r="J529" s="36"/>
    </row>
    <row r="530" spans="10:10">
      <c r="J530" s="36"/>
    </row>
    <row r="531" spans="10:10">
      <c r="J531" s="36"/>
    </row>
    <row r="532" spans="10:10">
      <c r="J532" s="36"/>
    </row>
    <row r="533" spans="10:10">
      <c r="J533" s="36"/>
    </row>
    <row r="534" spans="10:10">
      <c r="J534" s="36"/>
    </row>
    <row r="535" spans="10:10">
      <c r="J535" s="36"/>
    </row>
    <row r="536" spans="10:10">
      <c r="J536" s="36"/>
    </row>
    <row r="537" spans="10:10">
      <c r="J537" s="36"/>
    </row>
    <row r="538" spans="10:10">
      <c r="J538" s="36"/>
    </row>
    <row r="539" spans="10:10">
      <c r="J539" s="36"/>
    </row>
    <row r="540" spans="10:10">
      <c r="J540" s="36"/>
    </row>
    <row r="541" spans="10:10">
      <c r="J541" s="36"/>
    </row>
    <row r="542" spans="10:10">
      <c r="J542" s="36"/>
    </row>
    <row r="543" spans="10:10">
      <c r="J543" s="36"/>
    </row>
    <row r="544" spans="10:10">
      <c r="J544" s="36"/>
    </row>
    <row r="545" spans="10:10">
      <c r="J545" s="36"/>
    </row>
    <row r="546" spans="10:10">
      <c r="J546" s="36"/>
    </row>
    <row r="547" spans="10:10">
      <c r="J547" s="36"/>
    </row>
    <row r="548" spans="10:10">
      <c r="J548" s="36"/>
    </row>
    <row r="549" spans="10:10">
      <c r="J549" s="36"/>
    </row>
    <row r="550" spans="10:10">
      <c r="J550" s="36"/>
    </row>
    <row r="551" spans="10:10">
      <c r="J551" s="36"/>
    </row>
    <row r="552" spans="10:10">
      <c r="J552" s="36"/>
    </row>
    <row r="553" spans="10:10">
      <c r="J553" s="36"/>
    </row>
    <row r="554" spans="10:10">
      <c r="J554" s="36"/>
    </row>
    <row r="555" spans="10:10">
      <c r="J555" s="36"/>
    </row>
    <row r="556" spans="10:10">
      <c r="J556" s="36"/>
    </row>
    <row r="557" spans="10:10">
      <c r="J557" s="36"/>
    </row>
    <row r="558" spans="10:10">
      <c r="J558" s="36"/>
    </row>
    <row r="559" spans="10:10">
      <c r="J559" s="36"/>
    </row>
    <row r="560" spans="10:10">
      <c r="J560" s="36"/>
    </row>
    <row r="561" spans="10:10">
      <c r="J561" s="36"/>
    </row>
    <row r="562" spans="10:10">
      <c r="J562" s="36"/>
    </row>
    <row r="563" spans="10:10">
      <c r="J563" s="36"/>
    </row>
    <row r="564" spans="10:10">
      <c r="J564" s="36"/>
    </row>
    <row r="565" spans="10:10">
      <c r="J565" s="36"/>
    </row>
    <row r="566" spans="10:10">
      <c r="J566" s="36"/>
    </row>
    <row r="567" spans="10:10">
      <c r="J567" s="36"/>
    </row>
    <row r="568" spans="10:10">
      <c r="J568" s="36"/>
    </row>
    <row r="569" spans="10:10">
      <c r="J569" s="36"/>
    </row>
    <row r="570" spans="10:10">
      <c r="J570" s="36"/>
    </row>
    <row r="571" spans="10:10">
      <c r="J571" s="36"/>
    </row>
    <row r="572" spans="10:10">
      <c r="J572" s="36"/>
    </row>
    <row r="573" spans="10:10">
      <c r="J573" s="36"/>
    </row>
    <row r="574" spans="10:10">
      <c r="J574" s="36"/>
    </row>
    <row r="575" spans="10:10">
      <c r="J575" s="36"/>
    </row>
    <row r="576" spans="10:10">
      <c r="J576" s="36"/>
    </row>
    <row r="577" spans="10:10">
      <c r="J577" s="36"/>
    </row>
    <row r="578" spans="10:10">
      <c r="J578" s="36"/>
    </row>
  </sheetData>
  <mergeCells count="35">
    <mergeCell ref="AO8:AO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C8:AC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M1:M2"/>
    <mergeCell ref="N1:N2"/>
    <mergeCell ref="B1:B3"/>
    <mergeCell ref="I1:I3"/>
    <mergeCell ref="J1:J3"/>
    <mergeCell ref="K1:K3"/>
    <mergeCell ref="Q8:Q9"/>
    <mergeCell ref="M8:M9"/>
    <mergeCell ref="N8:N9"/>
    <mergeCell ref="O8:O9"/>
    <mergeCell ref="P8:P9"/>
  </mergeCells>
  <pageMargins left="0.75" right="0.75" top="1" bottom="1" header="0" footer="0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B1:H119"/>
  <sheetViews>
    <sheetView zoomScale="120" zoomScaleNormal="120" workbookViewId="0">
      <pane xSplit="1" ySplit="13" topLeftCell="B27" activePane="bottomRight" state="frozen"/>
      <selection pane="topRight" activeCell="C1" sqref="C1"/>
      <selection pane="bottomLeft" activeCell="A17" sqref="A17"/>
      <selection pane="bottomRight" activeCell="F84" sqref="F84:H84"/>
    </sheetView>
  </sheetViews>
  <sheetFormatPr defaultColWidth="11.453125" defaultRowHeight="12.5"/>
  <cols>
    <col min="1" max="1" width="9.7265625" style="1" customWidth="1"/>
    <col min="2" max="2" width="15.81640625" style="1" customWidth="1"/>
    <col min="3" max="3" width="5.7265625" style="1" customWidth="1"/>
    <col min="4" max="4" width="11.453125" style="1" customWidth="1"/>
    <col min="5" max="5" width="5.7265625" style="1" customWidth="1"/>
    <col min="6" max="6" width="13.453125" style="1" customWidth="1"/>
    <col min="7" max="7" width="5.7265625" style="1" customWidth="1"/>
    <col min="8" max="16384" width="11.453125" style="1"/>
  </cols>
  <sheetData>
    <row r="1" spans="2:8" ht="13" thickBot="1"/>
    <row r="2" spans="2:8" ht="10" customHeight="1">
      <c r="B2" s="101" t="s">
        <v>1</v>
      </c>
      <c r="C2" s="102"/>
      <c r="D2" s="102"/>
      <c r="E2" s="102"/>
      <c r="F2" s="102"/>
      <c r="G2" s="102"/>
      <c r="H2" s="103"/>
    </row>
    <row r="3" spans="2:8" ht="10" customHeight="1" thickBot="1">
      <c r="B3" s="104"/>
      <c r="C3" s="105"/>
      <c r="D3" s="105"/>
      <c r="E3" s="105"/>
      <c r="F3" s="105"/>
      <c r="G3" s="105"/>
      <c r="H3" s="106"/>
    </row>
    <row r="4" spans="2:8" ht="10" customHeight="1" thickBot="1"/>
    <row r="5" spans="2:8" ht="13.5" customHeight="1">
      <c r="B5" s="107" t="s">
        <v>2</v>
      </c>
      <c r="D5" s="109" t="s">
        <v>3</v>
      </c>
      <c r="F5" s="107" t="s">
        <v>2</v>
      </c>
      <c r="H5" s="109" t="s">
        <v>3</v>
      </c>
    </row>
    <row r="6" spans="2:8" ht="13" thickBot="1">
      <c r="B6" s="108"/>
      <c r="D6" s="110"/>
      <c r="F6" s="108"/>
      <c r="H6" s="110"/>
    </row>
    <row r="7" spans="2:8" ht="10" customHeight="1" thickBot="1"/>
    <row r="8" spans="2:8" ht="17.149999999999999" customHeight="1" thickBot="1">
      <c r="B8" s="2">
        <v>14</v>
      </c>
      <c r="C8" s="3"/>
      <c r="D8" s="2">
        <v>15</v>
      </c>
      <c r="F8" s="2">
        <v>19.5</v>
      </c>
      <c r="G8" s="3"/>
      <c r="H8" s="2">
        <v>20</v>
      </c>
    </row>
    <row r="9" spans="2:8" ht="5.15" customHeight="1" thickBot="1">
      <c r="B9" s="4"/>
      <c r="C9" s="5"/>
      <c r="D9" s="6"/>
      <c r="E9" s="7"/>
      <c r="F9" s="4"/>
      <c r="G9" s="5"/>
      <c r="H9" s="6"/>
    </row>
    <row r="10" spans="2:8" s="11" customFormat="1" ht="17.149999999999999" customHeight="1" thickBot="1">
      <c r="B10" s="8">
        <v>15.2</v>
      </c>
      <c r="C10" s="9"/>
      <c r="D10" s="8" t="s">
        <v>4</v>
      </c>
      <c r="E10" s="10"/>
      <c r="F10" s="8">
        <v>45.1</v>
      </c>
      <c r="G10" s="9"/>
      <c r="H10" s="8" t="s">
        <v>4</v>
      </c>
    </row>
    <row r="11" spans="2:8" ht="5.15" customHeight="1" thickBot="1">
      <c r="B11" s="4">
        <v>19.5</v>
      </c>
      <c r="C11" s="5"/>
      <c r="D11" s="6"/>
      <c r="E11" s="7"/>
      <c r="F11" s="4"/>
      <c r="G11" s="5"/>
      <c r="H11" s="6"/>
    </row>
    <row r="12" spans="2:8" ht="17.149999999999999" customHeight="1" thickBot="1">
      <c r="B12" s="2">
        <v>19.5</v>
      </c>
      <c r="C12" s="12"/>
      <c r="D12" s="2">
        <v>20</v>
      </c>
      <c r="F12" s="2">
        <v>29.1</v>
      </c>
      <c r="G12" s="12"/>
      <c r="H12" s="2">
        <v>30</v>
      </c>
    </row>
    <row r="13" spans="2:8" ht="13" thickBot="1"/>
    <row r="14" spans="2:8" s="16" customFormat="1" ht="16" thickBot="1">
      <c r="B14" s="13">
        <v>14</v>
      </c>
      <c r="C14" s="14"/>
      <c r="D14" s="15">
        <v>15</v>
      </c>
      <c r="F14" s="13">
        <v>19.5</v>
      </c>
      <c r="G14" s="14"/>
      <c r="H14" s="15">
        <v>20</v>
      </c>
    </row>
    <row r="15" spans="2:8">
      <c r="B15" s="17">
        <v>14.1</v>
      </c>
      <c r="C15" s="18"/>
      <c r="D15" s="17">
        <f t="shared" ref="D15:D68" si="0">(($D$12*(B15-$B$8)/($B$12-B15))+$D$8)*1/(((B15-$B$8)/($B$12-B15))+1)</f>
        <v>15.090909090909092</v>
      </c>
      <c r="F15" s="19">
        <v>19.600000000000001</v>
      </c>
      <c r="H15" s="20">
        <f>(($H$12*(F15-$F$8)/($F$12-F15))+$H$8)*1/(((F15-$F$8)/($F$12-F15))+1)</f>
        <v>20.104166666666668</v>
      </c>
    </row>
    <row r="16" spans="2:8">
      <c r="B16" s="17">
        <v>14.2</v>
      </c>
      <c r="C16" s="18"/>
      <c r="D16" s="17">
        <f t="shared" si="0"/>
        <v>15.181818181818183</v>
      </c>
      <c r="F16" s="19">
        <v>19.7</v>
      </c>
      <c r="H16" s="20">
        <f t="shared" ref="H16:H79" si="1">(($H$12*(F16-$F$8)/($F$12-F16))+$H$8)*1/(((F16-$F$8)/($F$12-F16))+1)</f>
        <v>20.208333333333332</v>
      </c>
    </row>
    <row r="17" spans="2:8">
      <c r="B17" s="17">
        <v>14.3</v>
      </c>
      <c r="C17" s="18"/>
      <c r="D17" s="17">
        <f t="shared" si="0"/>
        <v>15.272727272727272</v>
      </c>
      <c r="F17" s="19">
        <v>19.8</v>
      </c>
      <c r="G17" s="20"/>
      <c r="H17" s="20">
        <f t="shared" si="1"/>
        <v>20.3125</v>
      </c>
    </row>
    <row r="18" spans="2:8">
      <c r="B18" s="17">
        <v>14.4</v>
      </c>
      <c r="C18" s="18"/>
      <c r="D18" s="17">
        <f t="shared" si="0"/>
        <v>15.363636363636363</v>
      </c>
      <c r="F18" s="19">
        <v>19.899999999999999</v>
      </c>
      <c r="G18" s="20"/>
      <c r="H18" s="20">
        <f t="shared" si="1"/>
        <v>20.416666666666664</v>
      </c>
    </row>
    <row r="19" spans="2:8">
      <c r="B19" s="17">
        <v>14.5</v>
      </c>
      <c r="C19" s="18"/>
      <c r="D19" s="17">
        <f t="shared" si="0"/>
        <v>15.454545454545453</v>
      </c>
      <c r="F19" s="19">
        <v>20</v>
      </c>
      <c r="G19" s="20"/>
      <c r="H19" s="20">
        <f t="shared" si="1"/>
        <v>20.520833333333336</v>
      </c>
    </row>
    <row r="20" spans="2:8">
      <c r="B20" s="17">
        <v>14.6</v>
      </c>
      <c r="C20" s="18"/>
      <c r="D20" s="17">
        <f t="shared" si="0"/>
        <v>15.545454545454545</v>
      </c>
      <c r="F20" s="19">
        <v>20.100000000000001</v>
      </c>
      <c r="G20" s="20"/>
      <c r="H20" s="20">
        <f t="shared" si="1"/>
        <v>20.625</v>
      </c>
    </row>
    <row r="21" spans="2:8">
      <c r="B21" s="17">
        <v>14.7</v>
      </c>
      <c r="C21" s="18"/>
      <c r="D21" s="17">
        <f>(($D$12*(B21-$B$8)/($B$12-B21))+$D$8)*1/(((B21-$B$8)/($B$12-B21))+1)</f>
        <v>15.636363636363635</v>
      </c>
      <c r="F21" s="19">
        <v>20.2</v>
      </c>
      <c r="G21" s="20"/>
      <c r="H21" s="20">
        <f t="shared" si="1"/>
        <v>20.729166666666664</v>
      </c>
    </row>
    <row r="22" spans="2:8">
      <c r="B22" s="17">
        <v>14.8</v>
      </c>
      <c r="C22" s="18"/>
      <c r="D22" s="17">
        <f t="shared" si="0"/>
        <v>15.727272727272728</v>
      </c>
      <c r="F22" s="19">
        <v>20.3</v>
      </c>
      <c r="G22" s="20"/>
      <c r="H22" s="20">
        <f t="shared" si="1"/>
        <v>20.833333333333332</v>
      </c>
    </row>
    <row r="23" spans="2:8">
      <c r="B23" s="17">
        <v>14.9</v>
      </c>
      <c r="C23" s="18"/>
      <c r="D23" s="17">
        <f t="shared" si="0"/>
        <v>15.81818181818182</v>
      </c>
      <c r="F23" s="19">
        <v>20.399999999999999</v>
      </c>
      <c r="G23" s="20"/>
      <c r="H23" s="20">
        <f t="shared" si="1"/>
        <v>20.9375</v>
      </c>
    </row>
    <row r="24" spans="2:8">
      <c r="B24" s="17">
        <v>15</v>
      </c>
      <c r="C24" s="18"/>
      <c r="D24" s="17">
        <f t="shared" si="0"/>
        <v>15.909090909090907</v>
      </c>
      <c r="F24" s="19">
        <v>20.5</v>
      </c>
      <c r="G24" s="20"/>
      <c r="H24" s="20">
        <f t="shared" si="1"/>
        <v>21.041666666666668</v>
      </c>
    </row>
    <row r="25" spans="2:8">
      <c r="B25" s="17">
        <v>15.1</v>
      </c>
      <c r="C25" s="18"/>
      <c r="D25" s="17">
        <f t="shared" si="0"/>
        <v>16</v>
      </c>
      <c r="F25" s="19">
        <v>20.6</v>
      </c>
      <c r="G25" s="20"/>
      <c r="H25" s="20">
        <f t="shared" si="1"/>
        <v>21.145833333333332</v>
      </c>
    </row>
    <row r="26" spans="2:8">
      <c r="B26" s="17">
        <v>15.2</v>
      </c>
      <c r="C26" s="18"/>
      <c r="D26" s="17">
        <f t="shared" si="0"/>
        <v>16.09090909090909</v>
      </c>
      <c r="F26" s="19">
        <v>20.7</v>
      </c>
      <c r="G26" s="20"/>
      <c r="H26" s="20">
        <f t="shared" si="1"/>
        <v>21.249999999999996</v>
      </c>
    </row>
    <row r="27" spans="2:8">
      <c r="B27" s="17">
        <v>15.3</v>
      </c>
      <c r="C27" s="18"/>
      <c r="D27" s="17">
        <f t="shared" si="0"/>
        <v>16.181818181818183</v>
      </c>
      <c r="F27" s="19">
        <v>20.8</v>
      </c>
      <c r="G27" s="20"/>
      <c r="H27" s="20">
        <f t="shared" si="1"/>
        <v>21.354166666666664</v>
      </c>
    </row>
    <row r="28" spans="2:8">
      <c r="B28" s="17">
        <v>15.4</v>
      </c>
      <c r="C28" s="18"/>
      <c r="D28" s="17">
        <f t="shared" si="0"/>
        <v>16.272727272727273</v>
      </c>
      <c r="F28" s="19">
        <v>20.9</v>
      </c>
      <c r="G28" s="20"/>
      <c r="H28" s="20">
        <f t="shared" si="1"/>
        <v>21.458333333333332</v>
      </c>
    </row>
    <row r="29" spans="2:8">
      <c r="B29" s="17">
        <v>15.5</v>
      </c>
      <c r="C29" s="18"/>
      <c r="D29" s="17">
        <f t="shared" si="0"/>
        <v>16.363636363636363</v>
      </c>
      <c r="F29" s="19">
        <v>21</v>
      </c>
      <c r="G29" s="20"/>
      <c r="H29" s="20">
        <f t="shared" si="1"/>
        <v>21.5625</v>
      </c>
    </row>
    <row r="30" spans="2:8">
      <c r="B30" s="17">
        <v>15.6</v>
      </c>
      <c r="C30" s="18"/>
      <c r="D30" s="17">
        <f t="shared" si="0"/>
        <v>16.454545454545457</v>
      </c>
      <c r="F30" s="19">
        <v>21.1</v>
      </c>
      <c r="G30" s="20"/>
      <c r="H30" s="20">
        <f t="shared" si="1"/>
        <v>21.666666666666668</v>
      </c>
    </row>
    <row r="31" spans="2:8">
      <c r="B31" s="17">
        <v>15.7</v>
      </c>
      <c r="C31" s="18"/>
      <c r="D31" s="17">
        <f t="shared" si="0"/>
        <v>16.545454545454543</v>
      </c>
      <c r="F31" s="19">
        <v>21.2</v>
      </c>
      <c r="G31" s="20"/>
      <c r="H31" s="20">
        <f t="shared" si="1"/>
        <v>21.770833333333332</v>
      </c>
    </row>
    <row r="32" spans="2:8">
      <c r="B32" s="17">
        <v>15.8</v>
      </c>
      <c r="C32" s="18"/>
      <c r="D32" s="17">
        <f t="shared" si="0"/>
        <v>16.636363636363633</v>
      </c>
      <c r="F32" s="19">
        <v>21.3</v>
      </c>
      <c r="G32" s="20"/>
      <c r="H32" s="20">
        <f t="shared" si="1"/>
        <v>21.875000000000004</v>
      </c>
    </row>
    <row r="33" spans="2:8">
      <c r="B33" s="17">
        <v>15.9</v>
      </c>
      <c r="C33" s="18"/>
      <c r="D33" s="17">
        <f t="shared" si="0"/>
        <v>16.727272727272727</v>
      </c>
      <c r="F33" s="19">
        <v>21.4</v>
      </c>
      <c r="G33" s="20"/>
      <c r="H33" s="20">
        <f t="shared" si="1"/>
        <v>21.979166666666664</v>
      </c>
    </row>
    <row r="34" spans="2:8">
      <c r="B34" s="17">
        <v>16</v>
      </c>
      <c r="C34" s="18"/>
      <c r="D34" s="17">
        <f t="shared" si="0"/>
        <v>16.81818181818182</v>
      </c>
      <c r="F34" s="19">
        <v>21.5</v>
      </c>
      <c r="G34" s="20"/>
      <c r="H34" s="20">
        <f t="shared" si="1"/>
        <v>22.083333333333332</v>
      </c>
    </row>
    <row r="35" spans="2:8">
      <c r="B35" s="17">
        <v>16.100000000000001</v>
      </c>
      <c r="C35" s="18"/>
      <c r="D35" s="17">
        <f t="shared" si="0"/>
        <v>16.90909090909091</v>
      </c>
      <c r="F35" s="19">
        <v>21.6</v>
      </c>
      <c r="G35" s="20"/>
      <c r="H35" s="20">
        <f t="shared" si="1"/>
        <v>22.1875</v>
      </c>
    </row>
    <row r="36" spans="2:8">
      <c r="B36" s="17">
        <v>16.2</v>
      </c>
      <c r="C36" s="18"/>
      <c r="D36" s="17">
        <f t="shared" si="0"/>
        <v>17</v>
      </c>
      <c r="F36" s="19">
        <v>21.7</v>
      </c>
      <c r="G36" s="20"/>
      <c r="H36" s="20">
        <f t="shared" si="1"/>
        <v>22.291666666666664</v>
      </c>
    </row>
    <row r="37" spans="2:8">
      <c r="B37" s="17">
        <v>16.3</v>
      </c>
      <c r="C37" s="18"/>
      <c r="D37" s="17">
        <f t="shared" si="0"/>
        <v>17.09090909090909</v>
      </c>
      <c r="F37" s="19">
        <v>21.8</v>
      </c>
      <c r="G37" s="20"/>
      <c r="H37" s="20">
        <f t="shared" si="1"/>
        <v>22.395833333333332</v>
      </c>
    </row>
    <row r="38" spans="2:8">
      <c r="B38" s="17">
        <v>16.399999999999999</v>
      </c>
      <c r="C38" s="18"/>
      <c r="D38" s="17">
        <f t="shared" si="0"/>
        <v>17.18181818181818</v>
      </c>
      <c r="F38" s="19">
        <v>21.9</v>
      </c>
      <c r="G38" s="20"/>
      <c r="H38" s="20">
        <f t="shared" si="1"/>
        <v>22.499999999999996</v>
      </c>
    </row>
    <row r="39" spans="2:8">
      <c r="B39" s="17">
        <v>16.5</v>
      </c>
      <c r="C39" s="18"/>
      <c r="D39" s="17">
        <f t="shared" si="0"/>
        <v>17.272727272727273</v>
      </c>
      <c r="F39" s="19">
        <v>22</v>
      </c>
      <c r="G39" s="20"/>
      <c r="H39" s="20">
        <f t="shared" si="1"/>
        <v>22.604166666666664</v>
      </c>
    </row>
    <row r="40" spans="2:8">
      <c r="B40" s="17">
        <v>16.600000000000001</v>
      </c>
      <c r="C40" s="18"/>
      <c r="D40" s="17">
        <f t="shared" si="0"/>
        <v>17.363636363636367</v>
      </c>
      <c r="F40" s="19">
        <v>22.1</v>
      </c>
      <c r="G40" s="20"/>
      <c r="H40" s="20">
        <f t="shared" si="1"/>
        <v>22.708333333333336</v>
      </c>
    </row>
    <row r="41" spans="2:8">
      <c r="B41" s="17">
        <v>16.7</v>
      </c>
      <c r="C41" s="18"/>
      <c r="D41" s="17">
        <f t="shared" si="0"/>
        <v>17.454545454545457</v>
      </c>
      <c r="F41" s="19">
        <v>22.2</v>
      </c>
      <c r="G41" s="20"/>
      <c r="H41" s="20">
        <f t="shared" si="1"/>
        <v>22.8125</v>
      </c>
    </row>
    <row r="42" spans="2:8">
      <c r="B42" s="17">
        <v>16.8</v>
      </c>
      <c r="C42" s="18"/>
      <c r="D42" s="17">
        <f t="shared" si="0"/>
        <v>17.545454545454543</v>
      </c>
      <c r="F42" s="19">
        <v>22.3</v>
      </c>
      <c r="G42" s="20"/>
      <c r="H42" s="20">
        <f t="shared" si="1"/>
        <v>22.916666666666668</v>
      </c>
    </row>
    <row r="43" spans="2:8">
      <c r="B43" s="17">
        <v>16.899999999999999</v>
      </c>
      <c r="C43" s="18"/>
      <c r="D43" s="17">
        <f t="shared" si="0"/>
        <v>17.636363636363637</v>
      </c>
      <c r="F43" s="19">
        <v>22.4</v>
      </c>
      <c r="G43" s="20"/>
      <c r="H43" s="20">
        <f t="shared" si="1"/>
        <v>23.020833333333332</v>
      </c>
    </row>
    <row r="44" spans="2:8">
      <c r="B44" s="17">
        <v>17</v>
      </c>
      <c r="C44" s="18"/>
      <c r="D44" s="17">
        <f t="shared" si="0"/>
        <v>17.727272727272727</v>
      </c>
      <c r="F44" s="19">
        <v>22.5</v>
      </c>
      <c r="G44" s="20"/>
      <c r="H44" s="20">
        <f t="shared" si="1"/>
        <v>23.124999999999996</v>
      </c>
    </row>
    <row r="45" spans="2:8">
      <c r="B45" s="17">
        <v>17.100000000000001</v>
      </c>
      <c r="C45" s="18"/>
      <c r="D45" s="17">
        <f t="shared" si="0"/>
        <v>17.81818181818182</v>
      </c>
      <c r="F45" s="19">
        <v>22.6</v>
      </c>
      <c r="G45" s="20"/>
      <c r="H45" s="20">
        <f t="shared" si="1"/>
        <v>23.229166666666668</v>
      </c>
    </row>
    <row r="46" spans="2:8">
      <c r="B46" s="17">
        <v>17.2</v>
      </c>
      <c r="C46" s="18"/>
      <c r="D46" s="17">
        <f t="shared" si="0"/>
        <v>17.909090909090907</v>
      </c>
      <c r="F46" s="19">
        <v>22.7</v>
      </c>
      <c r="G46" s="20"/>
      <c r="H46" s="20">
        <f t="shared" si="1"/>
        <v>23.333333333333332</v>
      </c>
    </row>
    <row r="47" spans="2:8">
      <c r="B47" s="17">
        <v>17.3</v>
      </c>
      <c r="C47" s="18"/>
      <c r="D47" s="17">
        <f t="shared" si="0"/>
        <v>18</v>
      </c>
      <c r="F47" s="19">
        <v>22.8</v>
      </c>
      <c r="G47" s="20"/>
      <c r="H47" s="20">
        <f t="shared" si="1"/>
        <v>23.437500000000004</v>
      </c>
    </row>
    <row r="48" spans="2:8">
      <c r="B48" s="17">
        <v>17.399999999999999</v>
      </c>
      <c r="C48" s="18"/>
      <c r="D48" s="17">
        <f t="shared" si="0"/>
        <v>18.09090909090909</v>
      </c>
      <c r="F48" s="19">
        <v>22.9</v>
      </c>
      <c r="G48" s="20"/>
      <c r="H48" s="20">
        <f t="shared" si="1"/>
        <v>23.541666666666664</v>
      </c>
    </row>
    <row r="49" spans="2:8">
      <c r="B49" s="17">
        <v>17.5</v>
      </c>
      <c r="C49" s="18"/>
      <c r="D49" s="17">
        <f t="shared" si="0"/>
        <v>18.181818181818183</v>
      </c>
      <c r="F49" s="19">
        <v>23</v>
      </c>
      <c r="G49" s="20"/>
      <c r="H49" s="20">
        <f t="shared" si="1"/>
        <v>23.645833333333332</v>
      </c>
    </row>
    <row r="50" spans="2:8">
      <c r="B50" s="17">
        <v>17.600000000000001</v>
      </c>
      <c r="C50" s="18"/>
      <c r="D50" s="17">
        <f t="shared" si="0"/>
        <v>18.272727272727273</v>
      </c>
      <c r="F50" s="19">
        <v>23.100000000000101</v>
      </c>
      <c r="G50" s="20"/>
      <c r="H50" s="20">
        <f t="shared" si="1"/>
        <v>23.750000000000107</v>
      </c>
    </row>
    <row r="51" spans="2:8">
      <c r="B51" s="17">
        <v>17.7</v>
      </c>
      <c r="C51" s="18"/>
      <c r="D51" s="17">
        <f t="shared" si="0"/>
        <v>18.363636363636363</v>
      </c>
      <c r="F51" s="19">
        <v>23.2</v>
      </c>
      <c r="G51" s="20"/>
      <c r="H51" s="20">
        <f t="shared" si="1"/>
        <v>23.854166666666661</v>
      </c>
    </row>
    <row r="52" spans="2:8">
      <c r="B52" s="17">
        <v>17.8</v>
      </c>
      <c r="C52" s="18"/>
      <c r="D52" s="17">
        <f t="shared" si="0"/>
        <v>18.454545454545453</v>
      </c>
      <c r="F52" s="19">
        <v>23.3000000000001</v>
      </c>
      <c r="G52" s="20"/>
      <c r="H52" s="20">
        <f t="shared" si="1"/>
        <v>23.958333333333439</v>
      </c>
    </row>
    <row r="53" spans="2:8">
      <c r="B53" s="17">
        <v>17.899999999999999</v>
      </c>
      <c r="C53" s="18"/>
      <c r="D53" s="17">
        <f t="shared" si="0"/>
        <v>18.545454545454543</v>
      </c>
      <c r="F53" s="19">
        <v>23.4</v>
      </c>
      <c r="G53" s="20"/>
      <c r="H53" s="20">
        <f t="shared" si="1"/>
        <v>24.0625</v>
      </c>
    </row>
    <row r="54" spans="2:8">
      <c r="B54" s="17">
        <v>18</v>
      </c>
      <c r="C54" s="18"/>
      <c r="D54" s="17">
        <f t="shared" si="0"/>
        <v>18.63636363636364</v>
      </c>
      <c r="F54" s="19">
        <v>23.5</v>
      </c>
      <c r="G54" s="20"/>
      <c r="H54" s="20">
        <f t="shared" si="1"/>
        <v>24.166666666666668</v>
      </c>
    </row>
    <row r="55" spans="2:8">
      <c r="B55" s="17">
        <v>18.100000000000001</v>
      </c>
      <c r="C55" s="18"/>
      <c r="D55" s="17">
        <f t="shared" si="0"/>
        <v>18.72727272727273</v>
      </c>
      <c r="F55" s="19">
        <v>23.600000000000101</v>
      </c>
      <c r="G55" s="20"/>
      <c r="H55" s="20">
        <f t="shared" si="1"/>
        <v>24.270833333333439</v>
      </c>
    </row>
    <row r="56" spans="2:8">
      <c r="B56" s="17">
        <v>18.2</v>
      </c>
      <c r="C56" s="18"/>
      <c r="D56" s="17">
        <f t="shared" si="0"/>
        <v>18.81818181818182</v>
      </c>
      <c r="F56" s="19">
        <v>23.700000000000099</v>
      </c>
      <c r="G56" s="20"/>
      <c r="H56" s="20">
        <f t="shared" si="1"/>
        <v>24.375000000000103</v>
      </c>
    </row>
    <row r="57" spans="2:8">
      <c r="B57" s="17">
        <v>18.3</v>
      </c>
      <c r="C57" s="18"/>
      <c r="D57" s="17">
        <f t="shared" si="0"/>
        <v>18.90909090909091</v>
      </c>
      <c r="F57" s="19">
        <v>23.8000000000001</v>
      </c>
      <c r="G57" s="20"/>
      <c r="H57" s="20">
        <f t="shared" si="1"/>
        <v>24.479166666666774</v>
      </c>
    </row>
    <row r="58" spans="2:8">
      <c r="B58" s="17">
        <v>18.399999999999999</v>
      </c>
      <c r="C58" s="18"/>
      <c r="D58" s="17">
        <f t="shared" si="0"/>
        <v>19</v>
      </c>
      <c r="F58" s="19">
        <v>23.900000000000102</v>
      </c>
      <c r="G58" s="20"/>
      <c r="H58" s="20">
        <f t="shared" si="1"/>
        <v>24.583333333333439</v>
      </c>
    </row>
    <row r="59" spans="2:8">
      <c r="B59" s="17">
        <v>18.5</v>
      </c>
      <c r="C59" s="18"/>
      <c r="D59" s="17">
        <f t="shared" si="0"/>
        <v>19.09090909090909</v>
      </c>
      <c r="F59" s="19">
        <v>24.000000000000099</v>
      </c>
      <c r="G59" s="20"/>
      <c r="H59" s="20">
        <f t="shared" si="1"/>
        <v>24.687500000000103</v>
      </c>
    </row>
    <row r="60" spans="2:8">
      <c r="B60" s="17">
        <v>18.600000000000001</v>
      </c>
      <c r="C60" s="18"/>
      <c r="D60" s="17">
        <f t="shared" si="0"/>
        <v>19.181818181818183</v>
      </c>
      <c r="F60" s="19">
        <v>24.100000000000101</v>
      </c>
      <c r="G60" s="20"/>
      <c r="H60" s="20">
        <f t="shared" si="1"/>
        <v>24.791666666666767</v>
      </c>
    </row>
    <row r="61" spans="2:8">
      <c r="B61" s="17">
        <v>18.7</v>
      </c>
      <c r="C61" s="18"/>
      <c r="D61" s="17">
        <f t="shared" si="0"/>
        <v>19.272727272727273</v>
      </c>
      <c r="F61" s="19">
        <v>24.200000000000099</v>
      </c>
      <c r="G61" s="20"/>
      <c r="H61" s="20">
        <f t="shared" si="1"/>
        <v>24.895833333333435</v>
      </c>
    </row>
    <row r="62" spans="2:8">
      <c r="B62" s="17">
        <v>18.8</v>
      </c>
      <c r="C62" s="18"/>
      <c r="D62" s="17">
        <f t="shared" si="0"/>
        <v>19.363636363636367</v>
      </c>
      <c r="F62" s="19">
        <v>24.3000000000001</v>
      </c>
      <c r="G62" s="20"/>
      <c r="H62" s="20">
        <f t="shared" si="1"/>
        <v>25.000000000000099</v>
      </c>
    </row>
    <row r="63" spans="2:8">
      <c r="B63" s="17">
        <v>18.899999999999999</v>
      </c>
      <c r="C63" s="18"/>
      <c r="D63" s="17">
        <f t="shared" si="0"/>
        <v>19.454545454545453</v>
      </c>
      <c r="F63" s="19">
        <v>24.400000000000102</v>
      </c>
      <c r="G63" s="20"/>
      <c r="H63" s="20">
        <f t="shared" si="1"/>
        <v>25.104166666666774</v>
      </c>
    </row>
    <row r="64" spans="2:8">
      <c r="B64" s="17">
        <v>19</v>
      </c>
      <c r="C64" s="18"/>
      <c r="D64" s="17">
        <f t="shared" si="0"/>
        <v>19.545454545454547</v>
      </c>
      <c r="F64" s="19">
        <v>24.500000000000099</v>
      </c>
      <c r="G64" s="20"/>
      <c r="H64" s="20">
        <f t="shared" si="1"/>
        <v>25.208333333333435</v>
      </c>
    </row>
    <row r="65" spans="2:8">
      <c r="B65" s="17">
        <v>19.100000000000001</v>
      </c>
      <c r="C65" s="18"/>
      <c r="D65" s="17">
        <f t="shared" si="0"/>
        <v>19.636363636363637</v>
      </c>
      <c r="F65" s="19">
        <v>24.600000000000101</v>
      </c>
      <c r="G65" s="20"/>
      <c r="H65" s="20">
        <f t="shared" si="1"/>
        <v>25.312500000000103</v>
      </c>
    </row>
    <row r="66" spans="2:8">
      <c r="B66" s="17">
        <v>19.2</v>
      </c>
      <c r="C66" s="18"/>
      <c r="D66" s="17">
        <f t="shared" si="0"/>
        <v>19.727272727272727</v>
      </c>
      <c r="F66" s="19">
        <v>24.700000000000099</v>
      </c>
      <c r="G66" s="20"/>
      <c r="H66" s="20">
        <f t="shared" si="1"/>
        <v>25.416666666666767</v>
      </c>
    </row>
    <row r="67" spans="2:8">
      <c r="B67" s="17">
        <v>19.3</v>
      </c>
      <c r="C67" s="18"/>
      <c r="D67" s="17">
        <f t="shared" si="0"/>
        <v>19.818181818181817</v>
      </c>
      <c r="F67" s="19">
        <v>24.8000000000001</v>
      </c>
      <c r="G67" s="20"/>
      <c r="H67" s="20">
        <f t="shared" si="1"/>
        <v>25.520833333333432</v>
      </c>
    </row>
    <row r="68" spans="2:8" ht="13" thickBot="1">
      <c r="B68" s="17">
        <v>19.399999999999999</v>
      </c>
      <c r="C68" s="18"/>
      <c r="D68" s="17">
        <f t="shared" si="0"/>
        <v>19.909090909090907</v>
      </c>
      <c r="F68" s="19">
        <v>24.900000000000102</v>
      </c>
      <c r="G68" s="20"/>
      <c r="H68" s="20">
        <f t="shared" si="1"/>
        <v>25.625000000000103</v>
      </c>
    </row>
    <row r="69" spans="2:8" ht="16" thickBot="1">
      <c r="B69" s="13">
        <v>19.5</v>
      </c>
      <c r="C69" s="14"/>
      <c r="D69" s="15">
        <v>20</v>
      </c>
      <c r="F69" s="19">
        <v>25.000000000000099</v>
      </c>
      <c r="G69" s="20"/>
      <c r="H69" s="20">
        <f t="shared" si="1"/>
        <v>25.729166666666771</v>
      </c>
    </row>
    <row r="70" spans="2:8">
      <c r="F70" s="19">
        <v>25.100000000000101</v>
      </c>
      <c r="H70" s="20">
        <f t="shared" si="1"/>
        <v>25.833333333333439</v>
      </c>
    </row>
    <row r="71" spans="2:8">
      <c r="F71" s="19">
        <v>25.200000000000099</v>
      </c>
      <c r="H71" s="20">
        <f t="shared" si="1"/>
        <v>25.937500000000103</v>
      </c>
    </row>
    <row r="72" spans="2:8">
      <c r="F72" s="19">
        <v>25.3000000000001</v>
      </c>
      <c r="H72" s="20">
        <f t="shared" si="1"/>
        <v>26.041666666666771</v>
      </c>
    </row>
    <row r="73" spans="2:8">
      <c r="F73" s="19">
        <v>25.400000000000102</v>
      </c>
      <c r="H73" s="20">
        <f t="shared" si="1"/>
        <v>26.145833333333442</v>
      </c>
    </row>
    <row r="74" spans="2:8">
      <c r="F74" s="19">
        <v>25.500000000000099</v>
      </c>
      <c r="H74" s="20">
        <f t="shared" si="1"/>
        <v>26.250000000000099</v>
      </c>
    </row>
    <row r="75" spans="2:8">
      <c r="F75" s="19">
        <v>25.600000000000101</v>
      </c>
      <c r="H75" s="20">
        <f t="shared" si="1"/>
        <v>26.354166666666771</v>
      </c>
    </row>
    <row r="76" spans="2:8">
      <c r="F76" s="19">
        <v>25.700000000000099</v>
      </c>
      <c r="H76" s="20">
        <f t="shared" si="1"/>
        <v>26.458333333333428</v>
      </c>
    </row>
    <row r="77" spans="2:8">
      <c r="F77" s="19">
        <v>25.8000000000001</v>
      </c>
      <c r="H77" s="20">
        <f t="shared" si="1"/>
        <v>26.562500000000103</v>
      </c>
    </row>
    <row r="78" spans="2:8">
      <c r="F78" s="19">
        <v>25.900000000000102</v>
      </c>
      <c r="H78" s="20">
        <f t="shared" si="1"/>
        <v>26.666666666666767</v>
      </c>
    </row>
    <row r="79" spans="2:8">
      <c r="F79" s="19">
        <v>26.000000000000099</v>
      </c>
      <c r="H79" s="20">
        <f t="shared" si="1"/>
        <v>26.770833333333439</v>
      </c>
    </row>
    <row r="80" spans="2:8">
      <c r="F80" s="19">
        <v>26.100000000000101</v>
      </c>
      <c r="H80" s="20">
        <f t="shared" ref="H80:H110" si="2">(($H$12*(F80-$F$8)/($F$12-F80))+$H$8)*1/(((F80-$F$8)/($F$12-F80))+1)</f>
        <v>26.875000000000103</v>
      </c>
    </row>
    <row r="81" spans="6:8">
      <c r="F81" s="19">
        <v>26.200000000000099</v>
      </c>
      <c r="H81" s="20">
        <f t="shared" si="2"/>
        <v>26.979166666666767</v>
      </c>
    </row>
    <row r="82" spans="6:8">
      <c r="F82" s="19">
        <v>26.3000000000001</v>
      </c>
      <c r="H82" s="20">
        <f t="shared" si="2"/>
        <v>27.083333333333435</v>
      </c>
    </row>
    <row r="83" spans="6:8">
      <c r="F83" s="19">
        <v>26.400000000000102</v>
      </c>
      <c r="H83" s="20">
        <f t="shared" si="2"/>
        <v>27.187500000000103</v>
      </c>
    </row>
    <row r="84" spans="6:8">
      <c r="F84" s="19">
        <v>26.500000000000099</v>
      </c>
      <c r="H84" s="20">
        <f t="shared" si="2"/>
        <v>27.291666666666771</v>
      </c>
    </row>
    <row r="85" spans="6:8">
      <c r="F85" s="19">
        <v>26.600000000000101</v>
      </c>
      <c r="H85" s="20">
        <f t="shared" si="2"/>
        <v>27.395833333333435</v>
      </c>
    </row>
    <row r="86" spans="6:8">
      <c r="F86" s="19">
        <v>26.700000000000099</v>
      </c>
      <c r="H86" s="20">
        <f t="shared" si="2"/>
        <v>27.500000000000099</v>
      </c>
    </row>
    <row r="87" spans="6:8">
      <c r="F87" s="19">
        <v>26.8000000000001</v>
      </c>
      <c r="H87" s="20">
        <f t="shared" si="2"/>
        <v>27.604166666666771</v>
      </c>
    </row>
    <row r="88" spans="6:8">
      <c r="F88" s="19">
        <v>26.900000000000102</v>
      </c>
      <c r="H88" s="20">
        <f t="shared" si="2"/>
        <v>27.708333333333435</v>
      </c>
    </row>
    <row r="89" spans="6:8">
      <c r="F89" s="19">
        <v>27.000000000000099</v>
      </c>
      <c r="H89" s="20">
        <f t="shared" si="2"/>
        <v>27.812500000000099</v>
      </c>
    </row>
    <row r="90" spans="6:8">
      <c r="F90" s="19">
        <v>27.100000000000101</v>
      </c>
      <c r="H90" s="20">
        <f t="shared" si="2"/>
        <v>27.916666666666764</v>
      </c>
    </row>
    <row r="91" spans="6:8">
      <c r="F91" s="19">
        <v>27.200000000000099</v>
      </c>
      <c r="H91" s="20">
        <f t="shared" si="2"/>
        <v>28.020833333333432</v>
      </c>
    </row>
    <row r="92" spans="6:8">
      <c r="F92" s="19">
        <v>27.3000000000001</v>
      </c>
      <c r="H92" s="20">
        <f t="shared" si="2"/>
        <v>28.125000000000103</v>
      </c>
    </row>
    <row r="93" spans="6:8">
      <c r="F93" s="19">
        <v>27.400000000000102</v>
      </c>
      <c r="H93" s="20">
        <f t="shared" si="2"/>
        <v>28.229166666666771</v>
      </c>
    </row>
    <row r="94" spans="6:8">
      <c r="F94" s="19">
        <v>27.500000000000099</v>
      </c>
      <c r="H94" s="20">
        <f t="shared" si="2"/>
        <v>28.333333333333435</v>
      </c>
    </row>
    <row r="95" spans="6:8">
      <c r="F95" s="19">
        <v>27.600000000000101</v>
      </c>
      <c r="H95" s="20">
        <f t="shared" si="2"/>
        <v>28.437500000000103</v>
      </c>
    </row>
    <row r="96" spans="6:8">
      <c r="F96" s="19">
        <v>27.700000000000099</v>
      </c>
      <c r="H96" s="20">
        <f t="shared" si="2"/>
        <v>28.541666666666771</v>
      </c>
    </row>
    <row r="97" spans="6:8">
      <c r="F97" s="19">
        <v>27.8000000000001</v>
      </c>
      <c r="H97" s="20">
        <f t="shared" si="2"/>
        <v>28.645833333333439</v>
      </c>
    </row>
    <row r="98" spans="6:8">
      <c r="F98" s="19">
        <v>27.900000000000102</v>
      </c>
      <c r="H98" s="20">
        <f t="shared" si="2"/>
        <v>28.750000000000107</v>
      </c>
    </row>
    <row r="99" spans="6:8">
      <c r="F99" s="19">
        <v>28.000000000000099</v>
      </c>
      <c r="H99" s="20">
        <f t="shared" si="2"/>
        <v>28.854166666666771</v>
      </c>
    </row>
    <row r="100" spans="6:8">
      <c r="F100" s="19">
        <v>28.100000000000101</v>
      </c>
      <c r="H100" s="20">
        <f t="shared" si="2"/>
        <v>28.958333333333435</v>
      </c>
    </row>
    <row r="101" spans="6:8">
      <c r="F101" s="19">
        <v>28.200000000000099</v>
      </c>
      <c r="H101" s="20">
        <f t="shared" si="2"/>
        <v>29.062500000000103</v>
      </c>
    </row>
    <row r="102" spans="6:8">
      <c r="F102" s="19">
        <v>28.3000000000001</v>
      </c>
      <c r="H102" s="20">
        <f t="shared" si="2"/>
        <v>29.166666666666771</v>
      </c>
    </row>
    <row r="103" spans="6:8">
      <c r="F103" s="19">
        <v>28.400000000000102</v>
      </c>
      <c r="H103" s="20">
        <f t="shared" si="2"/>
        <v>29.270833333333439</v>
      </c>
    </row>
    <row r="104" spans="6:8">
      <c r="F104" s="19">
        <v>28.500000000000099</v>
      </c>
      <c r="H104" s="20">
        <f t="shared" si="2"/>
        <v>29.375000000000103</v>
      </c>
    </row>
    <row r="105" spans="6:8">
      <c r="F105" s="19">
        <v>28.600000000000101</v>
      </c>
      <c r="H105" s="20">
        <f t="shared" si="2"/>
        <v>29.479166666666774</v>
      </c>
    </row>
    <row r="106" spans="6:8">
      <c r="F106" s="19">
        <v>28.700000000000099</v>
      </c>
      <c r="H106" s="20">
        <f t="shared" si="2"/>
        <v>29.583333333333435</v>
      </c>
    </row>
    <row r="107" spans="6:8">
      <c r="F107" s="19">
        <v>28.8000000000001</v>
      </c>
      <c r="H107" s="20">
        <f t="shared" si="2"/>
        <v>29.687500000000096</v>
      </c>
    </row>
    <row r="108" spans="6:8">
      <c r="F108" s="19">
        <v>28.900000000000102</v>
      </c>
      <c r="H108" s="20">
        <f t="shared" si="2"/>
        <v>29.791666666666774</v>
      </c>
    </row>
    <row r="109" spans="6:8" ht="15.5">
      <c r="F109" s="19">
        <v>29.000000000000099</v>
      </c>
      <c r="G109" s="14"/>
      <c r="H109" s="20">
        <f t="shared" si="2"/>
        <v>29.895833333333432</v>
      </c>
    </row>
    <row r="110" spans="6:8">
      <c r="F110" s="19">
        <v>29.100000000000101</v>
      </c>
      <c r="H110" s="20">
        <f t="shared" si="2"/>
        <v>30.000000000000099</v>
      </c>
    </row>
    <row r="111" spans="6:8">
      <c r="F111" s="19"/>
      <c r="H111" s="20"/>
    </row>
    <row r="112" spans="6:8">
      <c r="F112" s="19"/>
      <c r="H112" s="20"/>
    </row>
    <row r="113" spans="6:8">
      <c r="F113" s="19"/>
      <c r="H113" s="20"/>
    </row>
    <row r="114" spans="6:8">
      <c r="F114" s="19"/>
      <c r="H114" s="20"/>
    </row>
    <row r="115" spans="6:8">
      <c r="F115" s="19"/>
      <c r="H115" s="20"/>
    </row>
    <row r="116" spans="6:8">
      <c r="F116" s="19"/>
      <c r="H116" s="20"/>
    </row>
    <row r="117" spans="6:8">
      <c r="F117" s="19"/>
      <c r="H117" s="20"/>
    </row>
    <row r="118" spans="6:8">
      <c r="F118" s="19"/>
      <c r="H118" s="20"/>
    </row>
    <row r="119" spans="6:8">
      <c r="F119" s="19"/>
      <c r="H119" s="20"/>
    </row>
  </sheetData>
  <mergeCells count="5">
    <mergeCell ref="B2:H3"/>
    <mergeCell ref="B5:B6"/>
    <mergeCell ref="D5:D6"/>
    <mergeCell ref="F5:F6"/>
    <mergeCell ref="H5:H6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Carta control</vt:lpstr>
      <vt:lpstr>Carta control Temp (2)</vt:lpstr>
      <vt:lpstr>LIMITES </vt:lpstr>
      <vt:lpstr>TCV HIGRÓMETRO TH-01</vt:lpstr>
    </vt:vector>
  </TitlesOfParts>
  <Company>CERPER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CERPER</dc:creator>
  <cp:lastModifiedBy>JESSICA RAMOS</cp:lastModifiedBy>
  <cp:lastPrinted>2018-04-09T15:45:01Z</cp:lastPrinted>
  <dcterms:created xsi:type="dcterms:W3CDTF">2007-04-09T14:29:54Z</dcterms:created>
  <dcterms:modified xsi:type="dcterms:W3CDTF">2023-09-08T20:16:27Z</dcterms:modified>
</cp:coreProperties>
</file>